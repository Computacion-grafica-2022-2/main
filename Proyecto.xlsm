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wnloads\Computacion Grafica\main\"/>
    </mc:Choice>
  </mc:AlternateContent>
  <xr:revisionPtr revIDLastSave="0" documentId="13_ncr:1_{CB4B5A07-A23C-4943-A749-6503FD58A91C}" xr6:coauthVersionLast="47" xr6:coauthVersionMax="47" xr10:uidLastSave="{00000000-0000-0000-0000-000000000000}"/>
  <bookViews>
    <workbookView xWindow="8436" yWindow="756" windowWidth="12624" windowHeight="11448" xr2:uid="{070BF909-E712-4C07-BC9E-5CC89F7A15FE}"/>
  </bookViews>
  <sheets>
    <sheet name="DAQ" sheetId="1" r:id="rId1"/>
    <sheet name="TANQUE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G7" i="1"/>
  <c r="G8" i="1"/>
  <c r="G5" i="1"/>
  <c r="A13" i="3"/>
  <c r="E13" i="3" s="1" a="1"/>
  <c r="E13" i="3" s="1"/>
  <c r="K13" i="3" s="1"/>
  <c r="H5" i="1" s="1"/>
  <c r="G4" i="3"/>
  <c r="H4" i="3"/>
  <c r="K4" i="3"/>
  <c r="G5" i="3"/>
  <c r="H5" i="3"/>
  <c r="K5" i="3"/>
  <c r="G6" i="3"/>
  <c r="H6" i="3"/>
  <c r="K6" i="3"/>
  <c r="K7" i="3"/>
  <c r="K17" i="3"/>
  <c r="C13" i="3" l="1" a="1"/>
  <c r="C13" i="3" s="1"/>
  <c r="K15" i="3" s="1"/>
  <c r="H7" i="1" s="1"/>
  <c r="B13" i="3"/>
  <c r="F13" i="3" a="1"/>
  <c r="F13" i="3" s="1"/>
  <c r="K16" i="3" s="1"/>
  <c r="H8" i="1" s="1"/>
  <c r="D13" i="3" l="1"/>
  <c r="K14" i="3" s="1"/>
  <c r="H6" i="1" s="1"/>
  <c r="B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8E146F-25F5-4C1C-AE6F-4BC5DFA68592}" keepAlive="1" name="Connection" type="5" refreshedVersion="0" background="1">
    <dbPr connection="Provider=Microsoft.Mashup.OleDb.1;Data Source=$Workbook$;Location=Table115;Extended Properties=&quot;&quot;" commandType="0"/>
  </connection>
  <connection id="2" xr16:uid="{3251BE5E-2E24-42D1-A167-0F92F3C5C7D6}" keepAlive="1" name="Connection1" type="5" refreshedVersion="0" background="1">
    <dbPr connection="Provider=Microsoft.Mashup.OleDb.1;Data Source=$Workbook$;Location=Table115;Extended Properties=&quot;&quot;" commandType="0"/>
  </connection>
  <connection id="3" xr16:uid="{59E33791-C85E-49AB-BB88-2DA095D4324B}" keepAlive="1" name="Connection10" type="5" refreshedVersion="0" background="1">
    <dbPr connection="Provider=Microsoft.Mashup.OleDb.1;Data Source=$Workbook$;Location=Table115;Extended Properties=&quot;&quot;" commandType="0"/>
  </connection>
  <connection id="4" xr16:uid="{ACBE5EB8-D567-441A-A202-0FB88309624A}" keepAlive="1" name="Connection11" type="5" refreshedVersion="0" background="1">
    <dbPr connection="Provider=Microsoft.Mashup.OleDb.1;Data Source=$Workbook$;Location=Table115;Extended Properties=&quot;&quot;" commandType="0"/>
  </connection>
  <connection id="5" xr16:uid="{9066993B-B24F-4798-ADF0-073343ADD223}" keepAlive="1" name="Connection12" type="5" refreshedVersion="0" background="1">
    <dbPr connection="Provider=Microsoft.Mashup.OleDb.1;Data Source=$Workbook$;Location=Table115;Extended Properties=&quot;&quot;" commandType="0"/>
  </connection>
  <connection id="6" xr16:uid="{1577D6BE-3854-414C-BA9C-8A523A037083}" keepAlive="1" name="Connection2" type="5" refreshedVersion="0" background="1">
    <dbPr connection="Provider=Microsoft.Mashup.OleDb.1;Data Source=$Workbook$;Location=Table115;Extended Properties=&quot;&quot;" commandType="0"/>
  </connection>
  <connection id="7" xr16:uid="{A0194E47-98EC-4BE3-BE09-EDE83CE8CC89}" keepAlive="1" name="Connection3" type="5" refreshedVersion="0" background="1">
    <dbPr connection="Provider=Microsoft.Mashup.OleDb.1;Data Source=$Workbook$;Location=Table115;Extended Properties=&quot;&quot;" commandType="0"/>
  </connection>
  <connection id="8" xr16:uid="{777B162A-3FBE-4BF5-B8BA-4DD7CC9E74D5}" keepAlive="1" name="Connection33" type="5" refreshedVersion="0" background="1">
    <dbPr connection="Provider=Microsoft.Mashup.OleDb.1;Data Source=$Workbook$;Location=Table115;Extended Properties=&quot;&quot;" commandType="0"/>
  </connection>
  <connection id="9" xr16:uid="{F67933A0-8D22-4BB5-AA8A-4E9D7852D68F}" keepAlive="1" name="Connection4" type="5" refreshedVersion="0" background="1">
    <dbPr connection="Provider=Microsoft.Mashup.OleDb.1;Data Source=$Workbook$;Location=Table115;Extended Properties=&quot;&quot;" commandType="0"/>
  </connection>
  <connection id="10" xr16:uid="{1F584337-A2D6-4710-8F84-26EAAFA43CB8}" keepAlive="1" name="Connection5" type="5" refreshedVersion="0" background="1">
    <dbPr connection="Provider=Microsoft.Mashup.OleDb.1;Data Source=$Workbook$;Location=Table115;Extended Properties=&quot;&quot;" commandType="0"/>
  </connection>
  <connection id="11" xr16:uid="{F77C3079-AEB2-4520-AFC6-09AAE55DAD36}" keepAlive="1" name="Connection6" type="5" refreshedVersion="0" background="1">
    <dbPr connection="Provider=Microsoft.Mashup.OleDb.1;Data Source=$Workbook$;Location=Table115;Extended Properties=&quot;&quot;" commandType="0"/>
  </connection>
  <connection id="12" xr16:uid="{4FFC280D-59E4-4973-AB04-8955236DCB71}" keepAlive="1" name="Connection7" type="5" refreshedVersion="0" background="1">
    <dbPr connection="Provider=Microsoft.Mashup.OleDb.1;Data Source=$Workbook$;Location=Table115;Extended Properties=&quot;&quot;" commandType="0"/>
  </connection>
  <connection id="13" xr16:uid="{95DBA091-4A9B-43F6-8EDE-ECABD767F775}" keepAlive="1" name="Connection8" type="5" refreshedVersion="0" background="1">
    <dbPr connection="Provider=Microsoft.Mashup.OleDb.1;Data Source=$Workbook$;Location=Table115;Extended Properties=&quot;&quot;" commandType="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<sst xmlns="http://schemas.openxmlformats.org/spreadsheetml/2006/main" count="58" uniqueCount="56">
  <si>
    <t>Datos Correo</t>
  </si>
  <si>
    <t>Medidas Tanques</t>
  </si>
  <si>
    <t>Destino</t>
  </si>
  <si>
    <t>biciklofjbt@gmail.com</t>
  </si>
  <si>
    <t>Capacidad</t>
  </si>
  <si>
    <t>Destinatario</t>
  </si>
  <si>
    <t>proyectocomputaciongrafica2022@gmail.com</t>
  </si>
  <si>
    <t>Empresa</t>
  </si>
  <si>
    <t>Asunto</t>
  </si>
  <si>
    <t>DSC</t>
  </si>
  <si>
    <t>Fecha</t>
  </si>
  <si>
    <t>Dext</t>
  </si>
  <si>
    <t>Lcil</t>
  </si>
  <si>
    <t>Datos cliente</t>
  </si>
  <si>
    <t>DCR</t>
  </si>
  <si>
    <t>Nombre</t>
  </si>
  <si>
    <t>Correo electrónico</t>
  </si>
  <si>
    <t>Dirección</t>
  </si>
  <si>
    <t>Número de contacto</t>
  </si>
  <si>
    <t>Medidas Tablero</t>
  </si>
  <si>
    <t>CASO</t>
  </si>
  <si>
    <t>Cometidas monofásicas</t>
  </si>
  <si>
    <t>Cometidas bifásicas</t>
  </si>
  <si>
    <t>Cometidas trifásicas</t>
  </si>
  <si>
    <t>Cantidad de bandejas</t>
  </si>
  <si>
    <t>Volumen Tanque [Gal]</t>
  </si>
  <si>
    <t>Ø Exterior</t>
  </si>
  <si>
    <t>Logitud Cilindrica</t>
  </si>
  <si>
    <t>Longitud Total Ext. Deoende de la cilindrica</t>
  </si>
  <si>
    <t>Distancia entre Colgaderos</t>
  </si>
  <si>
    <t>Distancia al centro refuerzos</t>
  </si>
  <si>
    <t>Nombre Parametro Inventor</t>
  </si>
  <si>
    <t>N/A</t>
  </si>
  <si>
    <t>d0</t>
  </si>
  <si>
    <t>d6</t>
  </si>
  <si>
    <t>LT</t>
  </si>
  <si>
    <t>d16</t>
  </si>
  <si>
    <t>Volumen voleado</t>
  </si>
  <si>
    <t>Intento de vol voleado</t>
  </si>
  <si>
    <t>#Laminas</t>
  </si>
  <si>
    <t>Long cil est</t>
  </si>
  <si>
    <t>Galonaje</t>
  </si>
  <si>
    <t>V en mm3</t>
  </si>
  <si>
    <t>Long Cil</t>
  </si>
  <si>
    <t>Diametro Ext.</t>
  </si>
  <si>
    <t>Dist colg</t>
  </si>
  <si>
    <t>Dist Centro R</t>
  </si>
  <si>
    <t>Nombre Empresa</t>
  </si>
  <si>
    <t>Pepitos SA</t>
  </si>
  <si>
    <t>Modelado tanques</t>
  </si>
  <si>
    <t>Prueba 4_x000D_</t>
  </si>
  <si>
    <t>Universidad Nacional de Colombia_x000D_</t>
  </si>
  <si>
    <t>aholguinr@unal.edu.co_x000D_</t>
  </si>
  <si>
    <t>Cra 45 #2685_x000D_</t>
  </si>
  <si>
    <t>Valor</t>
  </si>
  <si>
    <t>Parametro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</si>
</sst>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22" fontId="3" fillId="0" borderId="0" xfId="0" applyNumberFormat="1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3" fillId="0" borderId="11" xfId="0" applyFont="1" applyBorder="1" applyAlignment="1">
      <alignment horizontal="center" vertical="center" wrapText="1"/>
    </xf>
    <xf numFmtId="22" fontId="3" fillId="0" borderId="12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0" fillId="0" borderId="21" xfId="0" applyBorder="1" applyAlignment="1">
      <alignment wrapText="1"/>
    </xf>
    <xf numFmtId="0" fontId="5" fillId="0" borderId="21" xfId="0" applyFont="1" applyBorder="1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0" xfId="0" applyNumberFormat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11867</xdr:rowOff>
    </xdr:from>
    <xdr:to>
      <xdr:col>2</xdr:col>
      <xdr:colOff>11722</xdr:colOff>
      <xdr:row>18</xdr:row>
      <xdr:rowOff>47309</xdr:rowOff>
    </xdr:to>
    <xdr:sp macro="[0]!MAIN" textlink="">
      <xdr:nvSpPr>
        <xdr:cNvPr id="3" name="Rectangle 2">
          <a:extLst>
            <a:ext uri="{FF2B5EF4-FFF2-40B4-BE49-F238E27FC236}">
              <a16:creationId xmlns:a16="http://schemas.microsoft.com/office/drawing/2014/main" id="{E89DCE25-B349-4498-A43B-1A086E9C5B8C}"/>
            </a:ext>
          </a:extLst>
        </xdr:cNvPr>
        <xdr:cNvSpPr/>
      </xdr:nvSpPr>
      <xdr:spPr>
        <a:xfrm>
          <a:off x="0" y="2480747"/>
          <a:ext cx="6290602" cy="5612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002AF-51CF-4171-B328-E0C438FEFC1A}">
  <sheetPr codeName="Sheet1"/>
  <dimension ref="A1:I46"/>
  <sheetViews>
    <sheetView tabSelected="1" zoomScale="93" workbookViewId="0"/>
  </sheetViews>
  <sheetFormatPr defaultRowHeight="14.4" x14ac:dyDescent="0.3"/>
  <cols>
    <col min="1" max="2" width="45.77734375" customWidth="1"/>
    <col min="3" max="3" width="14.6640625" bestFit="1" customWidth="1"/>
    <col min="4" max="4" width="10.21875" bestFit="1" customWidth="1"/>
    <col min="5" max="5" width="30" bestFit="1" customWidth="1"/>
    <col min="6" max="6" width="20.5546875" bestFit="1" customWidth="1"/>
    <col min="7" max="8" width="25.77734375" customWidth="1"/>
    <col min="9" max="9" width="11.6640625" bestFit="1" customWidth="1"/>
    <col min="10" max="10" width="11" bestFit="1" customWidth="1"/>
  </cols>
  <sheetData>
    <row r="1" spans="1:8" ht="15" thickBot="1" x14ac:dyDescent="0.35">
      <c r="A1" s="1"/>
      <c r="B1" s="2"/>
      <c r="C1" s="2"/>
      <c r="D1" s="3"/>
      <c r="E1" s="3"/>
      <c r="F1" s="2"/>
      <c r="G1" s="4"/>
      <c r="H1" s="4"/>
    </row>
    <row r="2" spans="1:8" ht="15" thickBot="1" x14ac:dyDescent="0.35">
      <c r="A2" s="41" t="s">
        <v>0</v>
      </c>
      <c r="B2" s="42"/>
      <c r="C2" s="5"/>
      <c r="D2" s="6"/>
      <c r="E2" s="6"/>
      <c r="F2" s="5"/>
      <c r="G2" s="43" t="s">
        <v>1</v>
      </c>
      <c r="H2" s="44"/>
    </row>
    <row r="3" spans="1:8" ht="12.45" customHeight="1" x14ac:dyDescent="0.3">
      <c r="A3" s="7" t="s">
        <v>2</v>
      </c>
      <c r="B3" s="8" t="s">
        <v>3</v>
      </c>
      <c r="C3" s="9"/>
      <c r="D3" s="6"/>
      <c r="E3" s="6"/>
      <c r="F3" s="5"/>
      <c r="G3" s="10" t="s">
        <v>4</v>
      </c>
      <c r="H3" s="11">
        <v>5000</v>
      </c>
    </row>
    <row r="4" spans="1:8" ht="12.45" customHeight="1" thickBot="1" x14ac:dyDescent="0.35">
      <c r="A4" s="12" t="s">
        <v>5</v>
      </c>
      <c r="B4" s="13" t="s">
        <v>6</v>
      </c>
      <c r="C4" s="5"/>
      <c r="D4" s="6"/>
      <c r="E4" s="6"/>
      <c r="F4" s="5"/>
      <c r="G4" s="19" t="s">
        <v>7</v>
      </c>
      <c r="H4" s="40" t="s">
        <v>51</v>
      </c>
    </row>
    <row r="5" spans="1:8" ht="12.45" customHeight="1" x14ac:dyDescent="0.3">
      <c r="A5" s="12" t="s">
        <v>8</v>
      </c>
      <c r="B5" s="13" t="s">
        <v>49</v>
      </c>
      <c r="C5" s="5"/>
      <c r="D5" s="6"/>
      <c r="E5" s="6"/>
      <c r="F5" s="5"/>
      <c r="G5" s="38" t="str">
        <f>TANQUES!J13</f>
        <v>DSC</v>
      </c>
      <c r="H5" s="39">
        <f>TANQUES!K13</f>
        <v>2600</v>
      </c>
    </row>
    <row r="6" spans="1:8" ht="12.45" customHeight="1" thickBot="1" x14ac:dyDescent="0.35">
      <c r="A6" s="16" t="s">
        <v>10</v>
      </c>
      <c r="B6" s="17">
        <v>44893.044791666667</v>
      </c>
      <c r="C6" s="5"/>
      <c r="D6" s="6"/>
      <c r="E6" s="6"/>
      <c r="F6" s="5"/>
      <c r="G6" s="14" t="str">
        <f>TANQUES!J14</f>
        <v>Dext</v>
      </c>
      <c r="H6" s="15">
        <f>TANQUES!K14</f>
        <v>2096</v>
      </c>
    </row>
    <row r="7" spans="1:8" ht="12.45" customHeight="1" thickBot="1" x14ac:dyDescent="0.35">
      <c r="A7" s="5"/>
      <c r="B7" s="18"/>
      <c r="C7" s="5"/>
      <c r="D7" s="6"/>
      <c r="E7" s="6"/>
      <c r="F7" s="6"/>
      <c r="G7" s="14" t="str">
        <f>TANQUES!J15</f>
        <v>Lcil</v>
      </c>
      <c r="H7" s="15">
        <f>TANQUES!K15</f>
        <v>5490</v>
      </c>
    </row>
    <row r="8" spans="1:8" ht="12.45" customHeight="1" thickBot="1" x14ac:dyDescent="0.35">
      <c r="A8" s="45" t="s">
        <v>13</v>
      </c>
      <c r="B8" s="46"/>
      <c r="C8" s="5"/>
      <c r="D8" s="6"/>
      <c r="E8" s="6"/>
      <c r="F8" s="6"/>
      <c r="G8" s="19" t="str">
        <f>TANQUES!J16</f>
        <v>DCR</v>
      </c>
      <c r="H8" s="20">
        <f>TANQUES!K16</f>
        <v>700</v>
      </c>
    </row>
    <row r="9" spans="1:8" ht="12.45" customHeight="1" x14ac:dyDescent="0.3">
      <c r="A9" s="21" t="s">
        <v>15</v>
      </c>
      <c r="B9" s="22" t="s">
        <v>50</v>
      </c>
      <c r="C9" s="5"/>
      <c r="D9" s="5"/>
      <c r="E9" s="5"/>
      <c r="F9" s="6"/>
      <c r="G9" s="5"/>
      <c r="H9" s="5"/>
    </row>
    <row r="10" spans="1:8" ht="12.45" customHeight="1" x14ac:dyDescent="0.3">
      <c r="A10" s="23" t="s">
        <v>16</v>
      </c>
      <c r="B10" s="24" t="s">
        <v>52</v>
      </c>
      <c r="C10" s="9"/>
      <c r="D10" s="25"/>
      <c r="E10" s="25"/>
      <c r="F10" s="25"/>
      <c r="G10" s="25"/>
      <c r="H10" s="25"/>
    </row>
    <row r="11" spans="1:8" ht="12.45" customHeight="1" x14ac:dyDescent="0.3">
      <c r="A11" s="23" t="s">
        <v>17</v>
      </c>
      <c r="B11" s="24" t="s">
        <v>53</v>
      </c>
      <c r="C11" s="5"/>
      <c r="D11" s="6"/>
      <c r="E11" s="6"/>
      <c r="F11" s="6"/>
      <c r="G11" s="6"/>
      <c r="H11" s="6"/>
    </row>
    <row r="12" spans="1:8" ht="12.45" customHeight="1" thickBot="1" x14ac:dyDescent="0.35">
      <c r="A12" s="26" t="s">
        <v>18</v>
      </c>
      <c r="B12" s="27">
        <v>3166999804</v>
      </c>
      <c r="C12" s="5"/>
      <c r="D12" s="6"/>
      <c r="E12" s="6"/>
      <c r="F12" s="6"/>
      <c r="G12" s="6"/>
      <c r="H12" s="6"/>
    </row>
    <row r="13" spans="1:8" ht="15" thickBot="1" x14ac:dyDescent="0.35">
      <c r="A13" s="5"/>
      <c r="B13" s="5"/>
      <c r="C13" s="5"/>
      <c r="D13" s="6"/>
      <c r="E13" s="6"/>
      <c r="F13" s="6"/>
      <c r="G13" s="43" t="s">
        <v>19</v>
      </c>
      <c r="H13" s="44"/>
    </row>
    <row r="14" spans="1:8" ht="15" thickBot="1" x14ac:dyDescent="0.35">
      <c r="A14" s="28" t="s">
        <v>20</v>
      </c>
      <c r="B14" s="29" t="str">
        <f>IF(B5="Modelado tableros","Tableros",IF(B5="Modelado tanques","Tanques","NA"))</f>
        <v>Tanques</v>
      </c>
      <c r="C14" s="6"/>
      <c r="D14" s="6"/>
      <c r="E14" s="6"/>
      <c r="F14" s="6"/>
      <c r="G14" s="30" t="s">
        <v>21</v>
      </c>
      <c r="H14" s="31"/>
    </row>
    <row r="15" spans="1:8" x14ac:dyDescent="0.3">
      <c r="A15" s="6"/>
      <c r="B15" s="6"/>
      <c r="C15" s="6"/>
      <c r="D15" s="6"/>
      <c r="E15" s="6"/>
      <c r="F15" s="6"/>
      <c r="G15" s="12" t="s">
        <v>22</v>
      </c>
      <c r="H15" s="13"/>
    </row>
    <row r="16" spans="1:8" x14ac:dyDescent="0.3">
      <c r="A16" s="6"/>
      <c r="B16" s="6"/>
      <c r="C16" s="6"/>
      <c r="D16" s="6"/>
      <c r="E16" s="6"/>
      <c r="F16" s="6"/>
      <c r="G16" s="12" t="s">
        <v>23</v>
      </c>
      <c r="H16" s="13"/>
    </row>
    <row r="17" spans="1:8" ht="15" thickBot="1" x14ac:dyDescent="0.35">
      <c r="A17" s="6"/>
      <c r="B17" s="6"/>
      <c r="C17" s="6"/>
      <c r="D17" s="6"/>
      <c r="E17" s="6"/>
      <c r="F17" s="6"/>
      <c r="G17" s="16" t="s">
        <v>24</v>
      </c>
      <c r="H17" s="32"/>
    </row>
    <row r="18" spans="1:8" x14ac:dyDescent="0.3">
      <c r="G18" s="5"/>
      <c r="H18" s="5"/>
    </row>
    <row r="40" spans="2:9" x14ac:dyDescent="0.3">
      <c r="B40" s="3"/>
    </row>
    <row r="41" spans="2:9" x14ac:dyDescent="0.3">
      <c r="B41" s="3"/>
    </row>
    <row r="46" spans="2:9" x14ac:dyDescent="0.3">
      <c r="C46" s="37"/>
      <c r="D46" s="37"/>
      <c r="E46" s="37"/>
      <c r="F46" s="37"/>
      <c r="G46" s="37"/>
      <c r="H46" s="37"/>
      <c r="I46" s="37"/>
    </row>
  </sheetData>
  <mergeCells count="4">
    <mergeCell ref="A2:B2"/>
    <mergeCell ref="G2:H2"/>
    <mergeCell ref="A8:B8"/>
    <mergeCell ref="G13:H13"/>
  </mergeCells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4D0C9-BA21-43C8-9B4F-0A24C9B90132}">
  <sheetPr codeName="Sheet3"/>
  <dimension ref="A1:K17"/>
  <sheetViews>
    <sheetView workbookViewId="0">
      <selection activeCell="A14" sqref="A14"/>
    </sheetView>
  </sheetViews>
  <sheetFormatPr defaultColWidth="11.5546875" defaultRowHeight="14.4" x14ac:dyDescent="0.3"/>
  <cols>
    <col min="1" max="1" width="10.6640625" customWidth="1"/>
    <col min="2" max="2" width="12" bestFit="1" customWidth="1"/>
    <col min="3" max="3" width="8.33203125" customWidth="1"/>
    <col min="4" max="4" width="14.44140625" bestFit="1" customWidth="1"/>
    <col min="5" max="5" width="13.21875" bestFit="1" customWidth="1"/>
    <col min="6" max="6" width="14.44140625" bestFit="1" customWidth="1"/>
    <col min="7" max="7" width="15.33203125" customWidth="1"/>
  </cols>
  <sheetData>
    <row r="1" spans="1:11" ht="28.8" customHeight="1" x14ac:dyDescent="0.3">
      <c r="A1" s="33" t="s">
        <v>25</v>
      </c>
      <c r="B1" s="34" t="s">
        <v>26</v>
      </c>
      <c r="C1" s="33" t="s">
        <v>27</v>
      </c>
      <c r="D1" s="33" t="s">
        <v>28</v>
      </c>
      <c r="E1" s="33" t="s">
        <v>29</v>
      </c>
      <c r="F1" s="33" t="s">
        <v>30</v>
      </c>
      <c r="H1" s="3"/>
    </row>
    <row r="2" spans="1:11" x14ac:dyDescent="0.3">
      <c r="A2" s="47" t="s">
        <v>31</v>
      </c>
      <c r="B2" s="47"/>
      <c r="C2" s="47"/>
      <c r="D2" s="47"/>
      <c r="E2" s="47"/>
      <c r="F2" s="47"/>
    </row>
    <row r="3" spans="1:11" x14ac:dyDescent="0.3">
      <c r="A3" s="35" t="s">
        <v>32</v>
      </c>
      <c r="B3" s="35" t="s">
        <v>33</v>
      </c>
      <c r="C3" s="35" t="s">
        <v>34</v>
      </c>
      <c r="D3" s="35" t="s">
        <v>35</v>
      </c>
      <c r="E3" s="35" t="s">
        <v>9</v>
      </c>
      <c r="F3" s="35" t="s">
        <v>36</v>
      </c>
      <c r="G3" s="36" t="s">
        <v>37</v>
      </c>
      <c r="H3" s="36" t="s">
        <v>38</v>
      </c>
      <c r="J3" s="35" t="s">
        <v>39</v>
      </c>
      <c r="K3" s="35" t="s">
        <v>40</v>
      </c>
    </row>
    <row r="4" spans="1:11" x14ac:dyDescent="0.3">
      <c r="A4" s="35">
        <v>5000</v>
      </c>
      <c r="B4" s="35">
        <v>2100</v>
      </c>
      <c r="C4" s="35">
        <v>5490</v>
      </c>
      <c r="D4" s="35">
        <v>6147</v>
      </c>
      <c r="E4" s="35">
        <v>2600</v>
      </c>
      <c r="F4" s="35">
        <v>700</v>
      </c>
      <c r="G4">
        <f>((PI()/4)*B4^2*C4)/3785000</f>
        <v>5023.8299588373266</v>
      </c>
      <c r="H4">
        <f>A4*1.13</f>
        <v>5649.9999999999991</v>
      </c>
      <c r="J4" s="35">
        <v>1</v>
      </c>
      <c r="K4" s="35">
        <f>C4/2</f>
        <v>2745</v>
      </c>
    </row>
    <row r="5" spans="1:11" x14ac:dyDescent="0.3">
      <c r="A5" s="35">
        <v>10000</v>
      </c>
      <c r="B5" s="35">
        <v>2430</v>
      </c>
      <c r="C5" s="35">
        <v>8235</v>
      </c>
      <c r="D5" s="35">
        <v>8902</v>
      </c>
      <c r="E5" s="35">
        <v>3000</v>
      </c>
      <c r="F5" s="35">
        <v>1000</v>
      </c>
      <c r="G5">
        <f>((PI()/4)*B5^2*C5)/3785000</f>
        <v>10090.208681611744</v>
      </c>
      <c r="H5">
        <f>A5*1.09</f>
        <v>10900</v>
      </c>
      <c r="J5" s="35">
        <v>2</v>
      </c>
      <c r="K5" s="35">
        <f>K4*J5</f>
        <v>5490</v>
      </c>
    </row>
    <row r="6" spans="1:11" x14ac:dyDescent="0.3">
      <c r="A6" s="35">
        <v>12000</v>
      </c>
      <c r="B6" s="35">
        <v>2650</v>
      </c>
      <c r="C6" s="35">
        <v>8235</v>
      </c>
      <c r="D6" s="35">
        <v>8905</v>
      </c>
      <c r="E6" s="35">
        <v>3000</v>
      </c>
      <c r="F6" s="35">
        <v>1000</v>
      </c>
      <c r="G6">
        <f>((PI()/4)*B6^2*C6)/3785000</f>
        <v>11999.947580250042</v>
      </c>
      <c r="H6">
        <f>A6*1.08</f>
        <v>12960</v>
      </c>
      <c r="J6" s="35">
        <v>3</v>
      </c>
      <c r="K6" s="35">
        <f>K4*J6</f>
        <v>8235</v>
      </c>
    </row>
    <row r="7" spans="1:11" x14ac:dyDescent="0.3">
      <c r="J7" s="35">
        <v>4</v>
      </c>
      <c r="K7" s="35">
        <f>K4*J7</f>
        <v>10980</v>
      </c>
    </row>
    <row r="12" spans="1:11" x14ac:dyDescent="0.3">
      <c r="A12" s="35" t="s">
        <v>41</v>
      </c>
      <c r="B12" s="35" t="s">
        <v>42</v>
      </c>
      <c r="C12" s="35" t="s">
        <v>43</v>
      </c>
      <c r="D12" s="35" t="s">
        <v>44</v>
      </c>
      <c r="E12" s="35" t="s">
        <v>45</v>
      </c>
      <c r="F12" s="35" t="s">
        <v>46</v>
      </c>
      <c r="G12" s="35" t="s">
        <v>47</v>
      </c>
      <c r="J12" s="35" t="s">
        <v>55</v>
      </c>
      <c r="K12" s="35" t="s">
        <v>54</v>
      </c>
    </row>
    <row r="13" spans="1:11" x14ac:dyDescent="0.3">
      <c r="A13" s="35">
        <f>DAQ!H3</f>
        <v>5000</v>
      </c>
      <c r="B13" s="35">
        <f>A13*3785000</f>
        <v>18925000000</v>
      </c>
      <c r="C13" s="35" cm="1">
        <f t="array" ref="C13">_xlfn.IFS(A13&lt;=8000,K5,A13&lt;=12000,K6,A13&gt;12000,K7)</f>
        <v>5490</v>
      </c>
      <c r="D13" s="35">
        <f>ROUNDUP(SQRT(4*B13/(C13*PI())),0)</f>
        <v>2096</v>
      </c>
      <c r="E13" s="35" cm="1">
        <f t="array" ref="E13">_xlfn.IFS(A13&lt;=8000,2600,A13&lt;=12000,3000,A13&gt;12000,3400)</f>
        <v>2600</v>
      </c>
      <c r="F13" s="35" cm="1">
        <f t="array" ref="F13">_xlfn.IFS(A13&lt;=8000,700,A13&lt;=12000,1000,A13&gt;12000,1300)</f>
        <v>700</v>
      </c>
      <c r="G13" s="35" t="s">
        <v>48</v>
      </c>
      <c r="J13" s="35" t="s">
        <v>9</v>
      </c>
      <c r="K13" s="35">
        <f>E13</f>
        <v>2600</v>
      </c>
    </row>
    <row r="14" spans="1:11" x14ac:dyDescent="0.3">
      <c r="J14" s="35" t="s">
        <v>11</v>
      </c>
      <c r="K14" s="35">
        <f>D13</f>
        <v>2096</v>
      </c>
    </row>
    <row r="15" spans="1:11" x14ac:dyDescent="0.3">
      <c r="J15" s="35" t="s">
        <v>12</v>
      </c>
      <c r="K15" s="35">
        <f>C13</f>
        <v>5490</v>
      </c>
    </row>
    <row r="16" spans="1:11" x14ac:dyDescent="0.3">
      <c r="J16" s="35" t="s">
        <v>14</v>
      </c>
      <c r="K16" s="35">
        <f>F13</f>
        <v>700</v>
      </c>
    </row>
    <row r="17" spans="10:11" x14ac:dyDescent="0.3">
      <c r="J17" s="35" t="s">
        <v>7</v>
      </c>
      <c r="K17" s="35" t="str">
        <f>G13</f>
        <v>Pepitos SA</v>
      </c>
    </row>
  </sheetData>
  <mergeCells count="1">
    <mergeCell ref="A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D94325-F57D-481D-B6BE-5D0BB31138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DAQ</vt:lpstr>
      <vt:lpstr>TANQUES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Holguin Restrepo</dc:creator>
  <cp:lastModifiedBy>Andres Holguin Restrepo</cp:lastModifiedBy>
  <dcterms:created xsi:type="dcterms:W3CDTF">2022-11-27T19:15:22Z</dcterms:created>
  <dcterms:modified xsi:type="dcterms:W3CDTF">2022-11-28T13:36:44Z</dcterms:modified>
</cp:coreProperties>
</file>