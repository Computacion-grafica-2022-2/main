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wnloads\Computacion Grafica\main\"/>
    </mc:Choice>
  </mc:AlternateContent>
  <xr:revisionPtr revIDLastSave="0" documentId="13_ncr:1_{EE9B8CE6-792F-4F58-98DF-CCA5D690BD47}" xr6:coauthVersionLast="47" xr6:coauthVersionMax="47" xr10:uidLastSave="{00000000-0000-0000-0000-000000000000}"/>
  <bookViews>
    <workbookView xWindow="-108" yWindow="-108" windowWidth="23256" windowHeight="12576" xr2:uid="{9E71CEE0-54FA-4995-9AE2-37F231CEE4A0}"/>
  </bookViews>
  <sheets>
    <sheet name="DAQ" sheetId="1" r:id="rId1"/>
    <sheet name="TANQUES" sheetId="3" r:id="rId2"/>
    <sheet name="TABLEROS" sheetId="2" r:id="rId3"/>
  </sheets>
  <definedNames>
    <definedName name="T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3" l="1"/>
  <c r="E13" i="3" s="1" a="1"/>
  <c r="E13" i="3" s="1"/>
  <c r="H5" i="1" s="1"/>
  <c r="H6" i="3"/>
  <c r="G6" i="3"/>
  <c r="H5" i="3"/>
  <c r="G5" i="3"/>
  <c r="K4" i="3"/>
  <c r="K5" i="3" s="1"/>
  <c r="H4" i="3"/>
  <c r="G4" i="3"/>
  <c r="B13" i="3" l="1"/>
  <c r="F13" i="3" a="1"/>
  <c r="F13" i="3" s="1"/>
  <c r="H8" i="1" s="1"/>
  <c r="K6" i="3"/>
  <c r="K7" i="3"/>
  <c r="C13" i="3" s="1" a="1"/>
  <c r="C13" i="3" s="1"/>
  <c r="H7" i="1" s="1"/>
  <c r="B14" i="1"/>
  <c r="D13" i="3" l="1"/>
  <c r="H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AA0192-ED2E-4C7B-A66A-C7B7FC399C87}" keepAlive="1" name="Connection" type="5" refreshedVersion="0" background="1">
    <dbPr connection="Provider=Microsoft.Mashup.OleDb.1;Data Source=$Workbook$;Location=Table;Extended Properties=&quot;&quot;" commandType="0"/>
  </connection>
  <connection id="2" xr16:uid="{CCDF4FB6-0399-419A-923A-4C3C3C155623}" keepAlive="1" name="Connection1" type="5" refreshedVersion="0" background="1">
    <dbPr connection="Provider=Microsoft.Mashup.OleDb.1;Data Source=$Workbook$;Location=table;Extended Properties=&quot;&quot;" commandType="0"/>
  </connection>
  <connection id="3" xr16:uid="{5961E39A-C44C-4C0D-A2F9-E34D042C38BD}" keepAlive="1" name="Connection10" type="5" refreshedVersion="0" background="1">
    <dbPr connection="Provider=Microsoft.Mashup.OleDb.1;Data Source=$Workbook$;Location=TablaDatos;Extended Properties=&quot;&quot;" commandType="0"/>
  </connection>
  <connection id="4" xr16:uid="{70CA9150-DA30-459E-A8BA-526A7B201067}" keepAlive="1" name="Connection100" type="5" refreshedVersion="0" background="1">
    <dbPr connection="Provider=Microsoft.Mashup.OleDb.1;Data Source=$Workbook$;Location=TablaDatos;Extended Properties=&quot;&quot;" commandType="0"/>
  </connection>
  <connection id="5" xr16:uid="{167D8408-B9B8-4582-8C2D-9D50AB54BD5D}" keepAlive="1" name="Connection101" type="5" refreshedVersion="0" background="1">
    <dbPr connection="Provider=Microsoft.Mashup.OleDb.1;Data Source=$Workbook$;Location=TablaDatos;Extended Properties=&quot;&quot;" commandType="0"/>
  </connection>
  <connection id="6" xr16:uid="{CAE0FDDB-ADBE-487D-AC9B-83B93C630E4C}" keepAlive="1" name="Connection102" type="5" refreshedVersion="0" background="1">
    <dbPr connection="Provider=Microsoft.Mashup.OleDb.1;Data Source=$Workbook$;Location=TablaDatos;Extended Properties=&quot;&quot;" commandType="0"/>
  </connection>
  <connection id="7" xr16:uid="{EDD6588E-6DA9-46E7-9495-D22509419F48}" keepAlive="1" name="Connection103" type="5" refreshedVersion="0" background="1">
    <dbPr connection="Provider=Microsoft.Mashup.OleDb.1;Data Source=$Workbook$;Location=TablaDatos;Extended Properties=&quot;&quot;" commandType="0"/>
  </connection>
  <connection id="8" xr16:uid="{6E935CE8-F597-4101-80D9-681B90CE0CEE}" keepAlive="1" name="Connection104" type="5" refreshedVersion="0" background="1">
    <dbPr connection="Provider=Microsoft.Mashup.OleDb.1;Data Source=$Workbook$;Location=TablaDatos;Extended Properties=&quot;&quot;" commandType="0"/>
  </connection>
  <connection id="9" xr16:uid="{7C3CC9B0-073B-4C9F-995E-DFCD23670B8B}" keepAlive="1" name="Connection105" type="5" refreshedVersion="0" background="1">
    <dbPr connection="Provider=Microsoft.Mashup.OleDb.1;Data Source=$Workbook$;Location=TablaDatos;Extended Properties=&quot;&quot;" commandType="0"/>
  </connection>
  <connection id="10" xr16:uid="{1A665635-CC2C-414F-B881-CEE1CAB93A65}" keepAlive="1" name="Connection106" type="5" refreshedVersion="0" background="1">
    <dbPr connection="Provider=Microsoft.Mashup.OleDb.1;Data Source=$Workbook$;Location=TablaDatos;Extended Properties=&quot;&quot;" commandType="0"/>
  </connection>
  <connection id="11" xr16:uid="{F1A3F70F-00CF-4FDF-9546-464B66D9978C}" keepAlive="1" name="Connection107" type="5" refreshedVersion="0" background="1">
    <dbPr connection="Provider=Microsoft.Mashup.OleDb.1;Data Source=$Workbook$;Location=TablaDatos;Extended Properties=&quot;&quot;" commandType="0"/>
  </connection>
  <connection id="12" xr16:uid="{A0E66A95-25A8-47FC-8765-4B16E447CBF0}" keepAlive="1" name="Connection108" type="5" refreshedVersion="0" background="1">
    <dbPr connection="Provider=Microsoft.Mashup.OleDb.1;Data Source=$Workbook$;Location=TablaDatos;Extended Properties=&quot;&quot;" commandType="0"/>
  </connection>
  <connection id="13" xr16:uid="{C6CD2CB4-C764-4F83-A293-7AB688E5D300}" keepAlive="1" name="Connection109" type="5" refreshedVersion="0" background="1">
    <dbPr connection="Provider=Microsoft.Mashup.OleDb.1;Data Source=$Workbook$;Location=TablaDatos;Extended Properties=&quot;&quot;" commandType="0"/>
  </connection>
  <connection id="14" xr16:uid="{F2EF54DD-212D-45E3-9901-EFE8A98CA46C}" keepAlive="1" name="Connection11" type="5" refreshedVersion="0" background="1">
    <dbPr connection="Provider=Microsoft.Mashup.OleDb.1;Data Source=$Workbook$;Location=TablaDatos;Extended Properties=&quot;&quot;" commandType="0"/>
  </connection>
  <connection id="15" xr16:uid="{43A53B0A-9748-469F-A446-CD9970FF6BFC}" keepAlive="1" name="Connection110" type="5" refreshedVersion="0" background="1">
    <dbPr connection="Provider=Microsoft.Mashup.OleDb.1;Data Source=$Workbook$;Location=TablaDatos;Extended Properties=&quot;&quot;" commandType="0"/>
  </connection>
  <connection id="16" xr16:uid="{B59FD6A1-1686-4B0A-9327-0BAFF3B1F547}" keepAlive="1" name="Connection111" type="5" refreshedVersion="0" background="1">
    <dbPr connection="Provider=Microsoft.Mashup.OleDb.1;Data Source=$Workbook$;Location=TablaDatos;Extended Properties=&quot;&quot;" commandType="0"/>
  </connection>
  <connection id="17" xr16:uid="{D955DB8C-F69A-4EBF-9956-BEE8E30AE61F}" keepAlive="1" name="Connection112" type="5" refreshedVersion="0" background="1">
    <dbPr connection="Provider=Microsoft.Mashup.OleDb.1;Data Source=$Workbook$;Location=TablaDatos;Extended Properties=&quot;&quot;" commandType="0"/>
  </connection>
  <connection id="18" xr16:uid="{7A6F74EB-2F29-41D7-A780-EB49B50EBF16}" keepAlive="1" name="Connection113" type="5" refreshedVersion="0" background="1">
    <dbPr connection="Provider=Microsoft.Mashup.OleDb.1;Data Source=$Workbook$;Location=TablaDatos;Extended Properties=&quot;&quot;" commandType="0"/>
  </connection>
  <connection id="19" xr16:uid="{14407929-4DEE-4708-8E88-CC5F79478211}" keepAlive="1" name="Connection114" type="5" refreshedVersion="0" background="1">
    <dbPr connection="Provider=Microsoft.Mashup.OleDb.1;Data Source=$Workbook$;Location=TablaDatos;Extended Properties=&quot;&quot;" commandType="0"/>
  </connection>
  <connection id="20" xr16:uid="{D8655FAB-E119-4FBA-AD59-268B1157F212}" keepAlive="1" name="Connection115" type="5" refreshedVersion="0" background="1">
    <dbPr connection="Provider=Microsoft.Mashup.OleDb.1;Data Source=$Workbook$;Location=TablaDatos;Extended Properties=&quot;&quot;" commandType="0"/>
  </connection>
  <connection id="21" xr16:uid="{507653B5-44AB-4750-B39A-4F99D09F0405}" keepAlive="1" name="Connection116" type="5" refreshedVersion="0" background="1">
    <dbPr connection="Provider=Microsoft.Mashup.OleDb.1;Data Source=$Workbook$;Location=TablaDatos;Extended Properties=&quot;&quot;" commandType="0"/>
  </connection>
  <connection id="22" xr16:uid="{79A3CE4B-9E19-4827-9B64-6CFF79D6CBFA}" keepAlive="1" name="Connection117" type="5" refreshedVersion="0" background="1">
    <dbPr connection="Provider=Microsoft.Mashup.OleDb.1;Data Source=$Workbook$;Location=TablaDatos;Extended Properties=&quot;&quot;" commandType="0"/>
  </connection>
  <connection id="23" xr16:uid="{EF4ED295-9873-4669-AE85-DE3CA8E00A4C}" keepAlive="1" name="Connection118" type="5" refreshedVersion="0" background="1">
    <dbPr connection="Provider=Microsoft.Mashup.OleDb.1;Data Source=$Workbook$;Location=TablaDatos;Extended Properties=&quot;&quot;" commandType="0"/>
  </connection>
  <connection id="24" xr16:uid="{5D51C8AF-B349-4B04-B192-92265E3E12B0}" keepAlive="1" name="Connection119" type="5" refreshedVersion="0" background="1">
    <dbPr connection="Provider=Microsoft.Mashup.OleDb.1;Data Source=$Workbook$;Location=TablaDatos;Extended Properties=&quot;&quot;" commandType="0"/>
  </connection>
  <connection id="25" xr16:uid="{F345712C-1C3B-4F49-B047-1AEA5D363591}" keepAlive="1" name="Connection12" type="5" refreshedVersion="0" background="1">
    <dbPr connection="Provider=Microsoft.Mashup.OleDb.1;Data Source=$Workbook$;Location=TablaDatos;Extended Properties=&quot;&quot;" commandType="0"/>
  </connection>
  <connection id="26" xr16:uid="{02C1554E-72F5-442D-A817-600748C6D4B5}" keepAlive="1" name="Connection120" type="5" refreshedVersion="0" background="1">
    <dbPr connection="Provider=Microsoft.Mashup.OleDb.1;Data Source=$Workbook$;Location=TablaDatos;Extended Properties=&quot;&quot;" commandType="0"/>
  </connection>
  <connection id="27" xr16:uid="{E9406894-9656-4370-A4F5-D15E62479F81}" keepAlive="1" name="Connection121" type="5" refreshedVersion="0" background="1">
    <dbPr connection="Provider=Microsoft.Mashup.OleDb.1;Data Source=$Workbook$;Location=TablaDatos;Extended Properties=&quot;&quot;" commandType="0"/>
  </connection>
  <connection id="28" xr16:uid="{C3DCD583-51A7-411E-A1D5-5AE0E6F183BF}" keepAlive="1" name="Connection122" type="5" refreshedVersion="0" background="1">
    <dbPr connection="Provider=Microsoft.Mashup.OleDb.1;Data Source=$Workbook$;Location=TablaDatos;Extended Properties=&quot;&quot;" commandType="0"/>
  </connection>
  <connection id="29" xr16:uid="{A7F91CE1-14C1-4A72-A90C-B1D30848F68D}" keepAlive="1" name="Connection123" type="5" refreshedVersion="0" background="1">
    <dbPr connection="Provider=Microsoft.Mashup.OleDb.1;Data Source=$Workbook$;Location=TablaDatos;Extended Properties=&quot;&quot;" commandType="0"/>
  </connection>
  <connection id="30" xr16:uid="{8882F755-AD48-46B9-9AEC-C180C80F8C15}" keepAlive="1" name="Connection124" type="5" refreshedVersion="0" background="1">
    <dbPr connection="Provider=Microsoft.Mashup.OleDb.1;Data Source=$Workbook$;Location=TablaDatos;Extended Properties=&quot;&quot;" commandType="0"/>
  </connection>
  <connection id="31" xr16:uid="{90472FBB-C944-4189-98A1-1AFB037838C8}" keepAlive="1" name="Connection125" type="5" refreshedVersion="0" background="1">
    <dbPr connection="Provider=Microsoft.Mashup.OleDb.1;Data Source=$Workbook$;Location=TablaDatos;Extended Properties=&quot;&quot;" commandType="0"/>
  </connection>
  <connection id="32" xr16:uid="{ECBBC2CE-02F3-4E4D-9386-80F41F753B82}" keepAlive="1" name="Connection126" type="5" refreshedVersion="0" background="1">
    <dbPr connection="Provider=Microsoft.Mashup.OleDb.1;Data Source=$Workbook$;Location=TablaDatos;Extended Properties=&quot;&quot;" commandType="0"/>
  </connection>
  <connection id="33" xr16:uid="{CC05905C-65CF-4BD7-9339-5FB2D08AE5D5}" keepAlive="1" name="Connection127" type="5" refreshedVersion="0" background="1">
    <dbPr connection="Provider=Microsoft.Mashup.OleDb.1;Data Source=$Workbook$;Location=TablaDatos;Extended Properties=&quot;&quot;" commandType="0"/>
  </connection>
  <connection id="34" xr16:uid="{6F6D72E8-972E-40AE-A9A2-1344EAF3EDED}" keepAlive="1" name="Connection128" type="5" refreshedVersion="0" background="1">
    <dbPr connection="Provider=Microsoft.Mashup.OleDb.1;Data Source=$Workbook$;Location=TablaDatos;Extended Properties=&quot;&quot;" commandType="0"/>
  </connection>
  <connection id="35" xr16:uid="{D6681455-53EC-44BB-89C9-3A24DB99A4B2}" keepAlive="1" name="Connection129" type="5" refreshedVersion="0" background="1">
    <dbPr connection="Provider=Microsoft.Mashup.OleDb.1;Data Source=$Workbook$;Location=TablaDatos;Extended Properties=&quot;&quot;" commandType="0"/>
  </connection>
  <connection id="36" xr16:uid="{7D9BB884-C838-4C2A-B049-3BF5B32C3920}" keepAlive="1" name="Connection13" type="5" refreshedVersion="0" background="1">
    <dbPr connection="Provider=Microsoft.Mashup.OleDb.1;Data Source=$Workbook$;Location=TablaDatos;Extended Properties=&quot;&quot;" commandType="0"/>
  </connection>
  <connection id="37" xr16:uid="{E723F957-31DE-4A04-8EBB-90D146F37421}" keepAlive="1" name="Connection130" type="5" refreshedVersion="0" background="1">
    <dbPr connection="Provider=Microsoft.Mashup.OleDb.1;Data Source=$Workbook$;Location=TablaDatos;Extended Properties=&quot;&quot;" commandType="0"/>
  </connection>
  <connection id="38" xr16:uid="{610E1166-54B9-4FD3-AE24-04DC7940A457}" keepAlive="1" name="Connection131" type="5" refreshedVersion="0" background="1">
    <dbPr connection="Provider=Microsoft.Mashup.OleDb.1;Data Source=$Workbook$;Location=TablaDatos;Extended Properties=&quot;&quot;" commandType="0"/>
  </connection>
  <connection id="39" xr16:uid="{B9DC5690-7820-4958-887C-CBE672308509}" keepAlive="1" name="Connection132" type="5" refreshedVersion="0" background="1">
    <dbPr connection="Provider=Microsoft.Mashup.OleDb.1;Data Source=$Workbook$;Location=TablaDatos;Extended Properties=&quot;&quot;" commandType="0"/>
  </connection>
  <connection id="40" xr16:uid="{30D3CDCD-1390-4443-90FC-4E2083225A48}" keepAlive="1" name="Connection133" type="5" refreshedVersion="0" background="1">
    <dbPr connection="Provider=Microsoft.Mashup.OleDb.1;Data Source=$Workbook$;Location=TablaDatos;Extended Properties=&quot;&quot;" commandType="0"/>
  </connection>
  <connection id="41" xr16:uid="{53095183-EF50-4DA6-A015-BCEEDFE3AC78}" keepAlive="1" name="Connection134" type="5" refreshedVersion="0" background="1">
    <dbPr connection="Provider=Microsoft.Mashup.OleDb.1;Data Source=$Workbook$;Location=TablaDatos;Extended Properties=&quot;&quot;" commandType="0"/>
  </connection>
  <connection id="42" xr16:uid="{3EC43EC1-6032-4AEB-B343-47F34B001B5E}" keepAlive="1" name="Connection135" type="5" refreshedVersion="0" background="1">
    <dbPr connection="Provider=Microsoft.Mashup.OleDb.1;Data Source=$Workbook$;Location=TablaDatos;Extended Properties=&quot;&quot;" commandType="0"/>
  </connection>
  <connection id="43" xr16:uid="{E230C111-110B-4150-A5EC-D77B965050A7}" keepAlive="1" name="Connection136" type="5" refreshedVersion="0" background="1">
    <dbPr connection="Provider=Microsoft.Mashup.OleDb.1;Data Source=$Workbook$;Location=TablaDatos;Extended Properties=&quot;&quot;" commandType="0"/>
  </connection>
  <connection id="44" xr16:uid="{93911F4E-E283-4AFA-837E-C3E274DE6D8D}" keepAlive="1" name="Connection137" type="5" refreshedVersion="0" background="1">
    <dbPr connection="Provider=Microsoft.Mashup.OleDb.1;Data Source=$Workbook$;Location=TablaDatos;Extended Properties=&quot;&quot;" commandType="0"/>
  </connection>
  <connection id="45" xr16:uid="{D2B32710-A24C-430E-9BF9-C2E7ADB78D77}" keepAlive="1" name="Connection138" type="5" refreshedVersion="0" background="1">
    <dbPr connection="Provider=Microsoft.Mashup.OleDb.1;Data Source=$Workbook$;Location=TablaDatos;Extended Properties=&quot;&quot;" commandType="0"/>
  </connection>
  <connection id="46" xr16:uid="{2D5DAECD-1A62-4F66-A52B-C440502C3608}" keepAlive="1" name="Connection139" type="5" refreshedVersion="0" background="1">
    <dbPr connection="Provider=Microsoft.Mashup.OleDb.1;Data Source=$Workbook$;Location=TablaDatos;Extended Properties=&quot;&quot;" commandType="0"/>
  </connection>
  <connection id="47" xr16:uid="{73292440-BD78-432D-9E2D-659D52951BDD}" keepAlive="1" name="Connection14" type="5" refreshedVersion="0" background="1">
    <dbPr connection="Provider=Microsoft.Mashup.OleDb.1;Data Source=$Workbook$;Location=TablaDatos;Extended Properties=&quot;&quot;" commandType="0"/>
  </connection>
  <connection id="48" xr16:uid="{70C21CC5-2EA1-4486-9C9A-B882B079E55C}" keepAlive="1" name="Connection140" type="5" refreshedVersion="0" background="1">
    <dbPr connection="Provider=Microsoft.Mashup.OleDb.1;Data Source=$Workbook$;Location=TablaDatos;Extended Properties=&quot;&quot;" commandType="0"/>
  </connection>
  <connection id="49" xr16:uid="{2056E7EB-C320-4834-91F2-60D99F2384D5}" keepAlive="1" name="Connection141" type="5" refreshedVersion="0" background="1">
    <dbPr connection="Provider=Microsoft.Mashup.OleDb.1;Data Source=$Workbook$;Location=Table4;Extended Properties=&quot;&quot;" commandType="0"/>
  </connection>
  <connection id="50" xr16:uid="{50857F29-E1DD-4982-8926-4089E7BD04B0}" keepAlive="1" name="Connection142" type="5" refreshedVersion="0" background="1">
    <dbPr connection="Provider=Microsoft.Mashup.OleDb.1;Data Source=$Workbook$;Location=TablaDatos;Extended Properties=&quot;&quot;" commandType="0"/>
  </connection>
  <connection id="51" xr16:uid="{1A81E2B6-5C0B-471B-8F36-7DB681B1C61E}" keepAlive="1" name="Connection143" type="5" refreshedVersion="0" background="1">
    <dbPr connection="Provider=Microsoft.Mashup.OleDb.1;Data Source=$Workbook$;Location=TablaDatos;Extended Properties=&quot;&quot;" commandType="0"/>
  </connection>
  <connection id="52" xr16:uid="{44FCA8BF-A63B-4508-B3D8-C60E8FEE547D}" keepAlive="1" name="Connection144" type="5" refreshedVersion="0" background="1">
    <dbPr connection="Provider=Microsoft.Mashup.OleDb.1;Data Source=$Workbook$;Location=TablaDatos;Extended Properties=&quot;&quot;" commandType="0"/>
  </connection>
  <connection id="53" xr16:uid="{02A57520-B333-4CA5-A2DA-0D3DE8B50AF5}" keepAlive="1" name="Connection145" type="5" refreshedVersion="0" background="1">
    <dbPr connection="Provider=Microsoft.Mashup.OleDb.1;Data Source=$Workbook$;Location=TableValoresColumnas;Extended Properties=&quot;&quot;" commandType="0"/>
  </connection>
  <connection id="54" xr16:uid="{33307412-4D52-4DDD-BEA9-19BF0422EC3F}" keepAlive="1" name="Connection146" type="5" refreshedVersion="0" background="1">
    <dbPr connection="Provider=Microsoft.Mashup.OleDb.1;Data Source=$Workbook$;Location=TableValoresColumnas;Extended Properties=&quot;&quot;" commandType="0"/>
  </connection>
  <connection id="55" xr16:uid="{8B74A5B7-A653-455F-926D-E5BB466DEBDD}" keepAlive="1" name="Connection147" type="5" refreshedVersion="0" background="1">
    <dbPr connection="Provider=Microsoft.Mashup.OleDb.1;Data Source=$Workbook$;Location=TableValoresColumnas;Extended Properties=&quot;&quot;" commandType="0"/>
  </connection>
  <connection id="56" xr16:uid="{4460F2AD-E788-4E14-AD1C-B4FD907CD678}" keepAlive="1" name="Connection148" type="5" refreshedVersion="0" background="1">
    <dbPr connection="Provider=Microsoft.Mashup.OleDb.1;Data Source=$Workbook$;Location=TableValoresColumnas;Extended Properties=&quot;&quot;" commandType="0"/>
  </connection>
  <connection id="57" xr16:uid="{15850A94-7954-4215-AD87-21501FE5B3EA}" keepAlive="1" name="Connection149" type="5" refreshedVersion="0" background="1">
    <dbPr connection="Provider=Microsoft.Mashup.OleDb.1;Data Source=$Workbook$;Location=TableValoresColumnas;Extended Properties=&quot;&quot;" commandType="0"/>
  </connection>
  <connection id="58" xr16:uid="{3E2ED8AC-BC2C-4034-8D42-AA76B63127CE}" keepAlive="1" name="Connection15" type="5" refreshedVersion="0" background="1">
    <dbPr connection="Provider=Microsoft.Mashup.OleDb.1;Data Source=$Workbook$;Location=TablaDatos;Extended Properties=&quot;&quot;" commandType="0"/>
  </connection>
  <connection id="59" xr16:uid="{D5EC135A-226E-4A2D-8498-04EB04C9F646}" keepAlive="1" name="Connection150" type="5" refreshedVersion="0" background="1">
    <dbPr connection="Provider=Microsoft.Mashup.OleDb.1;Data Source=$Workbook$;Location=TableValoresColumnas;Extended Properties=&quot;&quot;" commandType="0"/>
  </connection>
  <connection id="60" xr16:uid="{C6E59A1E-6DAB-47E0-A6FF-14D267F91434}" keepAlive="1" name="Connection151" type="5" refreshedVersion="0" background="1">
    <dbPr connection="Provider=Microsoft.Mashup.OleDb.1;Data Source=$Workbook$;Location=TableValoresColumnas;Extended Properties=&quot;&quot;" commandType="0"/>
  </connection>
  <connection id="61" xr16:uid="{BEEC48A5-6EE1-4EAA-9D24-132C0734357B}" keepAlive="1" name="Connection152" type="5" refreshedVersion="0" background="1">
    <dbPr connection="Provider=Microsoft.Mashup.OleDb.1;Data Source=$Workbook$;Location=TableValoresColumnas;Extended Properties=&quot;&quot;" commandType="0"/>
  </connection>
  <connection id="62" xr16:uid="{CBFCD940-F2D1-4351-BF3A-5755AB88F911}" keepAlive="1" name="Connection153" type="5" refreshedVersion="0" background="1">
    <dbPr connection="Provider=Microsoft.Mashup.OleDb.1;Data Source=$Workbook$;Location=TableValoresColumnas;Extended Properties=&quot;&quot;" commandType="0"/>
  </connection>
  <connection id="63" xr16:uid="{E3EBBD16-B340-46ED-B4E2-6766C7701286}" keepAlive="1" name="Connection154" type="5" refreshedVersion="0" background="1">
    <dbPr connection="Provider=Microsoft.Mashup.OleDb.1;Data Source=$Workbook$;Location=TableValoresColumnas;Extended Properties=&quot;&quot;" commandType="0"/>
  </connection>
  <connection id="64" xr16:uid="{AACCAC28-2F48-47A2-A6F5-7AFA9FD7B8FD}" keepAlive="1" name="Connection155" type="5" refreshedVersion="0" background="1">
    <dbPr connection="Provider=Microsoft.Mashup.OleDb.1;Data Source=$Workbook$;Location=TableValoresColumnas;Extended Properties=&quot;&quot;" commandType="0"/>
  </connection>
  <connection id="65" xr16:uid="{5000B483-FEB5-4E9A-95F5-FFA3EEEF7BEC}" keepAlive="1" name="Connection156" type="5" refreshedVersion="0" background="1">
    <dbPr connection="Provider=Microsoft.Mashup.OleDb.1;Data Source=$Workbook$;Location=TableValoresColumnas;Extended Properties=&quot;&quot;" commandType="0"/>
  </connection>
  <connection id="66" xr16:uid="{D8D59DEC-CABE-45E3-936F-66788653EFA9}" keepAlive="1" name="Connection157" type="5" refreshedVersion="0" background="1">
    <dbPr connection="Provider=Microsoft.Mashup.OleDb.1;Data Source=$Workbook$;Location=TableValoresColumnas;Extended Properties=&quot;&quot;" commandType="0"/>
  </connection>
  <connection id="67" xr16:uid="{79E74698-D495-4EF0-AA4F-E7AF1373D918}" keepAlive="1" name="Connection158" type="5" refreshedVersion="0" background="1">
    <dbPr connection="Provider=Microsoft.Mashup.OleDb.1;Data Source=$Workbook$;Location=TableValoresColumnas;Extended Properties=&quot;&quot;" commandType="0"/>
  </connection>
  <connection id="68" xr16:uid="{49268BC2-13A5-4C61-9FAF-4C0E1487C1D9}" keepAlive="1" name="Connection159" type="5" refreshedVersion="0" background="1">
    <dbPr connection="Provider=Microsoft.Mashup.OleDb.1;Data Source=$Workbook$;Location=TableValoresColumnas;Extended Properties=&quot;&quot;" commandType="0"/>
  </connection>
  <connection id="69" xr16:uid="{7AF91839-A172-4B17-AC37-A744009EFEDB}" keepAlive="1" name="Connection16" type="5" refreshedVersion="0" background="1">
    <dbPr connection="Provider=Microsoft.Mashup.OleDb.1;Data Source=$Workbook$;Location=TablaDatos;Extended Properties=&quot;&quot;" commandType="0"/>
  </connection>
  <connection id="70" xr16:uid="{4F5F810B-8733-4899-A2CA-1893FDD4C695}" keepAlive="1" name="Connection160" type="5" refreshedVersion="0" background="1">
    <dbPr connection="Provider=Microsoft.Mashup.OleDb.1;Data Source=$Workbook$;Location=TableValoresColumnas;Extended Properties=&quot;&quot;" commandType="0"/>
  </connection>
  <connection id="71" xr16:uid="{351F11E9-9680-4F38-95D4-FB637821FD50}" keepAlive="1" name="Connection161" type="5" refreshedVersion="0" background="1">
    <dbPr connection="Provider=Microsoft.Mashup.OleDb.1;Data Source=$Workbook$;Location=TableValoresColumnas;Extended Properties=&quot;&quot;" commandType="0"/>
  </connection>
  <connection id="72" xr16:uid="{05A6A91F-6832-49E7-852B-9F12ADC11A23}" keepAlive="1" name="Connection162" type="5" refreshedVersion="0" background="1">
    <dbPr connection="Provider=Microsoft.Mashup.OleDb.1;Data Source=$Workbook$;Location=TableValoresColumnas;Extended Properties=&quot;&quot;" commandType="0"/>
  </connection>
  <connection id="73" xr16:uid="{7BD9EB8B-E41E-4935-908D-9698B5C6CDE9}" keepAlive="1" name="Connection163" type="5" refreshedVersion="0" background="1">
    <dbPr connection="Provider=Microsoft.Mashup.OleDb.1;Data Source=$Workbook$;Location=TableValoresColumnas;Extended Properties=&quot;&quot;" commandType="0"/>
  </connection>
  <connection id="74" xr16:uid="{E3377558-3BAF-47CF-A865-E9D124222856}" keepAlive="1" name="Connection164" type="5" refreshedVersion="0" background="1">
    <dbPr connection="Provider=Microsoft.Mashup.OleDb.1;Data Source=$Workbook$;Location=TableValoresColumnas;Extended Properties=&quot;&quot;" commandType="0"/>
  </connection>
  <connection id="75" xr16:uid="{A7D09333-7DC7-4CC2-A1F2-7BC11FC26A81}" keepAlive="1" name="Connection165" type="5" refreshedVersion="0" background="1">
    <dbPr connection="Provider=Microsoft.Mashup.OleDb.1;Data Source=$Workbook$;Location=TableValoresColumnas;Extended Properties=&quot;&quot;" commandType="0"/>
  </connection>
  <connection id="76" xr16:uid="{261FCF97-68F4-4526-A230-91A404E40867}" keepAlive="1" name="Connection166" type="5" refreshedVersion="0" background="1">
    <dbPr connection="Provider=Microsoft.Mashup.OleDb.1;Data Source=$Workbook$;Location=TableValoresColumnas;Extended Properties=&quot;&quot;" commandType="0"/>
  </connection>
  <connection id="77" xr16:uid="{10113CD4-2E26-4666-A09D-0245167F1B29}" keepAlive="1" name="Connection167" type="5" refreshedVersion="0" background="1">
    <dbPr connection="Provider=Microsoft.Mashup.OleDb.1;Data Source=$Workbook$;Location=TableValoresColumnas;Extended Properties=&quot;&quot;" commandType="0"/>
  </connection>
  <connection id="78" xr16:uid="{5CBC7C7F-1061-4C33-9748-4B035B181271}" keepAlive="1" name="Connection168" type="5" refreshedVersion="0" background="1">
    <dbPr connection="Provider=Microsoft.Mashup.OleDb.1;Data Source=$Workbook$;Location=TableValoresColumnas;Extended Properties=&quot;&quot;" commandType="0"/>
  </connection>
  <connection id="79" xr16:uid="{51844390-FAED-42AC-BEEC-B89CED7B0D62}" keepAlive="1" name="Connection169" type="5" refreshedVersion="0" background="1">
    <dbPr connection="Provider=Microsoft.Mashup.OleDb.1;Data Source=$Workbook$;Location=TableValoresColumnas;Extended Properties=&quot;&quot;" commandType="0"/>
  </connection>
  <connection id="80" xr16:uid="{0CC7C63C-E7E0-4F91-BD84-F01B6339BF63}" keepAlive="1" name="Connection17" type="5" refreshedVersion="0" background="1">
    <dbPr connection="Provider=Microsoft.Mashup.OleDb.1;Data Source=$Workbook$;Location=TablaDatos;Extended Properties=&quot;&quot;" commandType="0"/>
  </connection>
  <connection id="81" xr16:uid="{B5F17BBF-735E-4661-BD09-D81816D10013}" keepAlive="1" name="Connection170" type="5" refreshedVersion="0" background="1">
    <dbPr connection="Provider=Microsoft.Mashup.OleDb.1;Data Source=$Workbook$;Location=TableValoresColumnas;Extended Properties=&quot;&quot;" commandType="0"/>
  </connection>
  <connection id="82" xr16:uid="{EC30D534-8CC5-4C04-B997-34F3ABC1BA93}" keepAlive="1" name="Connection171" type="5" refreshedVersion="0" background="1">
    <dbPr connection="Provider=Microsoft.Mashup.OleDb.1;Data Source=$Workbook$;Location=TableValoresColumnas;Extended Properties=&quot;&quot;" commandType="0"/>
  </connection>
  <connection id="83" xr16:uid="{BCFD46C4-BFD3-4715-BE30-95662C1D11ED}" keepAlive="1" name="Connection172" type="5" refreshedVersion="0" background="1">
    <dbPr connection="Provider=Microsoft.Mashup.OleDb.1;Data Source=$Workbook$;Location=TableValoresColumnas;Extended Properties=&quot;&quot;" commandType="0"/>
  </connection>
  <connection id="84" xr16:uid="{5B453E9D-DDEC-41B2-A53F-2F8ACA0BA1F5}" keepAlive="1" name="Connection173" type="5" refreshedVersion="0" background="1">
    <dbPr connection="Provider=Microsoft.Mashup.OleDb.1;Data Source=$Workbook$;Location=TableValoresColumnas;Extended Properties=&quot;&quot;" commandType="0"/>
  </connection>
  <connection id="85" xr16:uid="{08A54000-28E2-4D23-8AE6-AC652DA254B5}" keepAlive="1" name="Connection174" type="5" refreshedVersion="0" background="1">
    <dbPr connection="Provider=Microsoft.Mashup.OleDb.1;Data Source=$Workbook$;Location=Table2;Extended Properties=&quot;&quot;" commandType="0"/>
  </connection>
  <connection id="86" xr16:uid="{25156297-922A-4C7C-B62D-D4DFB2FCBCBF}" keepAlive="1" name="Connection175" type="5" refreshedVersion="0" background="1">
    <dbPr connection="Provider=Microsoft.Mashup.OleDb.1;Data Source=$Workbook$;Location=Table2;Extended Properties=&quot;&quot;" commandType="0"/>
  </connection>
  <connection id="87" xr16:uid="{219058BA-CA84-4B6C-B218-6D1BCE20ADEF}" keepAlive="1" name="Connection176" type="5" refreshedVersion="0" background="1">
    <dbPr connection="Provider=Microsoft.Mashup.OleDb.1;Data Source=$Workbook$;Location=Table2;Extended Properties=&quot;&quot;" commandType="0"/>
  </connection>
  <connection id="88" xr16:uid="{C93BD889-2717-45A2-BABF-BFB192871484}" keepAlive="1" name="Connection177" type="5" refreshedVersion="0" background="1">
    <dbPr connection="Provider=Microsoft.Mashup.OleDb.1;Data Source=$Workbook$;Location=Table2;Extended Properties=&quot;&quot;" commandType="0"/>
  </connection>
  <connection id="89" xr16:uid="{8D6BC32E-FE96-40EE-8F0D-09B5B79F6848}" keepAlive="1" name="Connection178" type="5" refreshedVersion="0" background="1">
    <dbPr connection="Provider=Microsoft.Mashup.OleDb.1;Data Source=$Workbook$;Location=Table2;Extended Properties=&quot;&quot;" commandType="0"/>
  </connection>
  <connection id="90" xr16:uid="{BB57B006-9E9C-4BA4-B928-B307614B1FD7}" keepAlive="1" name="Connection179" type="5" refreshedVersion="0" background="1">
    <dbPr connection="Provider=Microsoft.Mashup.OleDb.1;Data Source=$Workbook$;Location=TableValoresColumnas;Extended Properties=&quot;&quot;" commandType="0"/>
  </connection>
  <connection id="91" xr16:uid="{A76DAF0C-531E-4B97-B0BB-31D58228DDB6}" keepAlive="1" name="Connection18" type="5" refreshedVersion="0" background="1">
    <dbPr connection="Provider=Microsoft.Mashup.OleDb.1;Data Source=$Workbook$;Location=TablaDatos;Extended Properties=&quot;&quot;" commandType="0"/>
  </connection>
  <connection id="92" xr16:uid="{F4E19309-4A1D-4BC7-A7E6-CD1E3E7F7AD4}" keepAlive="1" name="Connection180" type="5" refreshedVersion="0" background="1">
    <dbPr connection="Provider=Microsoft.Mashup.OleDb.1;Data Source=$Workbook$;Location=Table2;Extended Properties=&quot;&quot;" commandType="0"/>
  </connection>
  <connection id="93" xr16:uid="{AB0C3A5F-237B-4B81-87C8-3B2615141D76}" keepAlive="1" name="Connection181" type="5" refreshedVersion="0" background="1">
    <dbPr connection="Provider=Microsoft.Mashup.OleDb.1;Data Source=$Workbook$;Location=Table2;Extended Properties=&quot;&quot;" commandType="0"/>
  </connection>
  <connection id="94" xr16:uid="{4B432489-299B-4047-B67D-5E644872B84A}" keepAlive="1" name="Connection182" type="5" refreshedVersion="0" background="1">
    <dbPr connection="Provider=Microsoft.Mashup.OleDb.1;Data Source=$Workbook$;Location=Table2;Extended Properties=&quot;&quot;" commandType="0"/>
  </connection>
  <connection id="95" xr16:uid="{9DE97F6E-6ED0-48F5-AA90-57CE98137926}" keepAlive="1" name="Connection183" type="5" refreshedVersion="0" background="1">
    <dbPr connection="Provider=Microsoft.Mashup.OleDb.1;Data Source=$Workbook$;Location=TableValoresColumnas;Extended Properties=&quot;&quot;" commandType="0"/>
  </connection>
  <connection id="96" xr16:uid="{733D377E-CADB-44BF-A7DE-4040283CA2E5}" keepAlive="1" name="Connection184" type="5" refreshedVersion="0" background="1">
    <dbPr connection="Provider=Microsoft.Mashup.OleDb.1;Data Source=$Workbook$;Location=Table2;Extended Properties=&quot;&quot;" commandType="0"/>
  </connection>
  <connection id="97" xr16:uid="{A1894CC3-0294-46E8-BFF4-6ECC3FC24BCE}" keepAlive="1" name="Connection185" type="5" refreshedVersion="0" background="1">
    <dbPr connection="Provider=Microsoft.Mashup.OleDb.1;Data Source=$Workbook$;Location=TableValoresColumnas;Extended Properties=&quot;&quot;" commandType="0"/>
  </connection>
  <connection id="98" xr16:uid="{F3D2536A-FF09-4D55-8722-B23985F5EE2E}" keepAlive="1" name="Connection186" type="5" refreshedVersion="0" background="1">
    <dbPr connection="Provider=Microsoft.Mashup.OleDb.1;Data Source=$Workbook$;Location=Table2;Extended Properties=&quot;&quot;" commandType="0"/>
  </connection>
  <connection id="99" xr16:uid="{73C3D145-BCA7-4311-AB62-4A15871468E2}" keepAlive="1" name="Connection187" type="5" refreshedVersion="0" background="1">
    <dbPr connection="Provider=Microsoft.Mashup.OleDb.1;Data Source=$Workbook$;Location=TableValoresColumnas;Extended Properties=&quot;&quot;" commandType="0"/>
  </connection>
  <connection id="100" xr16:uid="{6438D6CE-94E2-4B30-B020-5829F8F07E27}" keepAlive="1" name="Connection188" type="5" refreshedVersion="0" background="1">
    <dbPr connection="Provider=Microsoft.Mashup.OleDb.1;Data Source=$Workbook$;Location=Table2;Extended Properties=&quot;&quot;" command="SELECT * FROM [TableQ]"/>
  </connection>
  <connection id="101" xr16:uid="{377720EF-DC49-419E-9E5E-7A16774765AE}" keepAlive="1" name="Connection189" type="5" refreshedVersion="0" background="1">
    <dbPr connection="Provider=Microsoft.Mashup.OleDb.1;Data Source=$Workbook$;Location=Table2;Extended Properties=&quot;&quot;" commandType="0"/>
  </connection>
  <connection id="102" xr16:uid="{15CE9F55-8ECA-4BAC-921E-2D12614D3BFB}" keepAlive="1" name="Connection19" type="5" refreshedVersion="0" background="1">
    <dbPr connection="Provider=Microsoft.Mashup.OleDb.1;Data Source=$Workbook$;Location=TablaDatos;Extended Properties=&quot;&quot;" commandType="0"/>
  </connection>
  <connection id="103" xr16:uid="{A70894FA-AE44-4769-B2A6-4112F77443E9}" keepAlive="1" name="Connection190" type="5" refreshedVersion="0" background="1">
    <dbPr connection="Provider=Microsoft.Mashup.OleDb.1;Data Source=$Workbook$;Location=Table2;Extended Properties=&quot;&quot;" commandType="0"/>
  </connection>
  <connection id="104" xr16:uid="{87248ACF-80F5-4AAE-B1C9-E2F0A8B613B6}" keepAlive="1" name="Connection191" type="5" refreshedVersion="0" background="1">
    <dbPr connection="Provider=Microsoft.Mashup.OleDb.1;Data Source=$Workbook$;Location=Table2;Extended Properties=&quot;&quot;" commandType="0"/>
  </connection>
  <connection id="105" xr16:uid="{85F7C259-86B5-4011-A205-F379C456BFA6}" keepAlive="1" name="Connection192" type="5" refreshedVersion="0" background="1">
    <dbPr connection="Provider=Microsoft.Mashup.OleDb.1;Data Source=$Workbook$;Location=Table2;Extended Properties=&quot;&quot;" commandType="0"/>
  </connection>
  <connection id="106" xr16:uid="{58C95556-EE64-42BB-89F7-7E71D6033904}" keepAlive="1" name="Connection193" type="5" refreshedVersion="0" background="1">
    <dbPr connection="Provider=Microsoft.Mashup.OleDb.1;Data Source=$Workbook$;Location=Table2;Extended Properties=&quot;&quot;" commandType="0"/>
  </connection>
  <connection id="107" xr16:uid="{6D887F7D-6370-4EA3-9DF5-8952EB763A7B}" keepAlive="1" name="Connection194" type="5" refreshedVersion="0" background="1">
    <dbPr connection="Provider=Microsoft.Mashup.OleDb.1;Data Source=$Workbook$;Location=Table2;Extended Properties=&quot;&quot;" commandType="0"/>
  </connection>
  <connection id="108" xr16:uid="{23E1013F-F37C-4659-9D65-40475877D06F}" keepAlive="1" name="Connection195" type="5" refreshedVersion="0" background="1">
    <dbPr connection="Provider=Microsoft.Mashup.OleDb.1;Data Source=$Workbook$;Location=Table2;Extended Properties=&quot;&quot;" commandType="0"/>
  </connection>
  <connection id="109" xr16:uid="{98D26DD9-2B4A-4F35-A37E-A82EDA59B31D}" keepAlive="1" name="Connection196" type="5" refreshedVersion="0" background="1">
    <dbPr connection="Provider=Microsoft.Mashup.OleDb.1;Data Source=$Workbook$;Location=Table2;Extended Properties=&quot;&quot;" commandType="0"/>
  </connection>
  <connection id="110" xr16:uid="{9841969E-BFCF-4ACF-8A06-D873B413D7B0}" keepAlive="1" name="Connection197" type="5" refreshedVersion="0" background="1">
    <dbPr connection="Provider=Microsoft.Mashup.OleDb.1;Data Source=$Workbook$;Location=Table115;Extended Properties=&quot;&quot;" commandType="0"/>
  </connection>
  <connection id="111" xr16:uid="{9B5862A0-D47A-405F-B17F-8B8D9F4D5F14}" keepAlive="1" name="Connection198" type="5" refreshedVersion="0" background="1">
    <dbPr connection="Provider=Microsoft.Mashup.OleDb.1;Data Source=$Workbook$;Location=Table115;Extended Properties=&quot;&quot;" commandType="0"/>
  </connection>
  <connection id="112" xr16:uid="{123D5168-286A-49A9-B934-A91703CB8FCB}" keepAlive="1" name="Connection199" type="5" refreshedVersion="0" background="1">
    <dbPr connection="Provider=Microsoft.Mashup.OleDb.1;Data Source=$Workbook$;Location=Table115;Extended Properties=&quot;&quot;" commandType="0"/>
  </connection>
  <connection id="113" xr16:uid="{8F43DB07-ECEC-479B-A31B-A8241C785BC4}" keepAlive="1" name="Connection2" type="5" refreshedVersion="0" background="1">
    <dbPr connection="Provider=Microsoft.Mashup.OleDb.1;Data Source=$Workbook$;Location=table2;Extended Properties=&quot;&quot;" commandType="0"/>
  </connection>
  <connection id="114" xr16:uid="{C7F31948-759C-45BA-A591-59987DD48A4C}" keepAlive="1" name="Connection20" type="5" refreshedVersion="0" background="1">
    <dbPr connection="Provider=Microsoft.Mashup.OleDb.1;Data Source=$Workbook$;Location=TablaDatos;Extended Properties=&quot;&quot;" commandType="0"/>
  </connection>
  <connection id="115" xr16:uid="{77995727-B1AF-45B1-80D0-748A5A4C5E32}" keepAlive="1" name="Connection200" type="5" refreshedVersion="0" background="1">
    <dbPr connection="Provider=Microsoft.Mashup.OleDb.1;Data Source=$Workbook$;Location=Table115;Extended Properties=&quot;&quot;" commandType="0"/>
  </connection>
  <connection id="116" xr16:uid="{0CB37597-3F78-4E23-A066-82B2F2B6F807}" keepAlive="1" name="Connection201" type="5" refreshedVersion="0" background="1">
    <dbPr connection="Provider=Microsoft.Mashup.OleDb.1;Data Source=$Workbook$;Location=Table115;Extended Properties=&quot;&quot;" commandType="0"/>
  </connection>
  <connection id="117" xr16:uid="{7B125977-DD8D-44AF-835B-6CC740BEEAC3}" keepAlive="1" name="Connection202" type="5" refreshedVersion="0" background="1">
    <dbPr connection="Provider=Microsoft.Mashup.OleDb.1;Data Source=$Workbook$;Location=Table115;Extended Properties=&quot;&quot;" commandType="0"/>
  </connection>
  <connection id="118" xr16:uid="{C79B9D79-DFE2-40FB-9751-0570754A0BB3}" keepAlive="1" name="Connection203" type="5" refreshedVersion="0" background="1">
    <dbPr connection="Provider=Microsoft.Mashup.OleDb.1;Data Source=$Workbook$;Location=Table2;Extended Properties=&quot;&quot;" commandType="0"/>
  </connection>
  <connection id="119" xr16:uid="{957AAE65-20C1-4196-9F6E-8DD87C1AC056}" keepAlive="1" name="Connection204" type="5" refreshedVersion="0" background="1">
    <dbPr connection="Provider=Microsoft.Mashup.OleDb.1;Data Source=$Workbook$;Location=Table2;Extended Properties=&quot;&quot;" commandType="0"/>
  </connection>
  <connection id="120" xr16:uid="{2CA1CC50-F384-4771-9C47-58A48C7E2D54}" keepAlive="1" name="Connection205" type="5" refreshedVersion="0" background="1">
    <dbPr connection="Provider=Microsoft.Mashup.OleDb.1;Data Source=$Workbook$;Location=Table115;Extended Properties=&quot;&quot;" commandType="0"/>
  </connection>
  <connection id="121" xr16:uid="{76A68D93-E344-4A07-9C9A-A46CC718D7B9}" keepAlive="1" name="Connection206" type="5" refreshedVersion="0" background="1">
    <dbPr connection="Provider=Microsoft.Mashup.OleDb.1;Data Source=$Workbook$;Location=Table2;Extended Properties=&quot;&quot;" commandType="0"/>
  </connection>
  <connection id="122" xr16:uid="{02A5869B-1AB1-46A9-A365-77C0C3F44029}" keepAlive="1" name="Connection207" type="5" refreshedVersion="0" background="1">
    <dbPr connection="Provider=Microsoft.Mashup.OleDb.1;Data Source=$Workbook$;Location=Table2;Extended Properties=&quot;&quot;" commandType="0"/>
  </connection>
  <connection id="123" xr16:uid="{FA3A3B38-3D83-4900-B03C-753E6582E5F7}" keepAlive="1" name="Connection208" type="5" refreshedVersion="0" background="1">
    <dbPr connection="Provider=Microsoft.Mashup.OleDb.1;Data Source=$Workbook$;Location=Table115;Extended Properties=&quot;&quot;" commandType="0"/>
  </connection>
  <connection id="124" xr16:uid="{E2528A9F-868D-41A5-A7FA-E2BB735FB5F6}" keepAlive="1" name="Connection209" type="5" refreshedVersion="0" background="1">
    <dbPr connection="Provider=Microsoft.Mashup.OleDb.1;Data Source=$Workbook$;Location=Table115;Extended Properties=&quot;&quot;" commandType="0"/>
  </connection>
  <connection id="125" xr16:uid="{133EAE40-1149-4B3A-A60F-95BC0DFF98B7}" keepAlive="1" name="Connection21" type="5" refreshedVersion="0" background="1">
    <dbPr connection="Provider=Microsoft.Mashup.OleDb.1;Data Source=$Workbook$;Location=TablaDatos;Extended Properties=&quot;&quot;" commandType="0"/>
  </connection>
  <connection id="126" xr16:uid="{32584046-DCAB-41F6-B0BF-D820FE72BB3B}" keepAlive="1" name="Connection210" type="5" refreshedVersion="0" background="1">
    <dbPr connection="Provider=Microsoft.Mashup.OleDb.1;Data Source=$Workbook$;Location=Table2;Extended Properties=&quot;&quot;" commandType="0"/>
  </connection>
  <connection id="127" xr16:uid="{E8EFBD50-AC47-479E-99BE-3AF433542BF7}" keepAlive="1" name="Connection211" type="5" refreshedVersion="0" background="1">
    <dbPr connection="Provider=Microsoft.Mashup.OleDb.1;Data Source=$Workbook$;Location=Table115;Extended Properties=&quot;&quot;" commandType="0"/>
  </connection>
  <connection id="128" xr16:uid="{73325207-0004-438E-B7A9-421936A1E055}" keepAlive="1" name="Connection212" type="5" refreshedVersion="0" background="1">
    <dbPr connection="Provider=Microsoft.Mashup.OleDb.1;Data Source=$Workbook$;Location=Table2;Extended Properties=&quot;&quot;" commandType="0"/>
  </connection>
  <connection id="129" xr16:uid="{530732F7-6D1D-4A3A-8DE4-69C18BA91CBB}" keepAlive="1" name="Connection213" type="5" refreshedVersion="0" background="1">
    <dbPr connection="Provider=Microsoft.Mashup.OleDb.1;Data Source=$Workbook$;Location=Table2;Extended Properties=&quot;&quot;" commandType="0"/>
  </connection>
  <connection id="130" xr16:uid="{1E76E6B5-2619-40E6-818C-DFBC7DF8623B}" keepAlive="1" name="Connection214" type="5" refreshedVersion="0" background="1">
    <dbPr connection="Provider=Microsoft.Mashup.OleDb.1;Data Source=$Workbook$;Location=Table115;Extended Properties=&quot;&quot;" commandType="0"/>
  </connection>
  <connection id="131" xr16:uid="{FF0BCE62-F3ED-440F-A7F6-15BC3772EA03}" keepAlive="1" name="Connection215" type="5" refreshedVersion="0" background="1">
    <dbPr connection="Provider=Microsoft.Mashup.OleDb.1;Data Source=$Workbook$;Location=Table2;Extended Properties=&quot;&quot;" commandType="0"/>
  </connection>
  <connection id="132" xr16:uid="{9673C3C4-399F-4C45-9317-C067E5BF7B30}" keepAlive="1" name="Connection216" type="5" refreshedVersion="0" background="1">
    <dbPr connection="Provider=Microsoft.Mashup.OleDb.1;Data Source=$Workbook$;Location=Table115;Extended Properties=&quot;&quot;" commandType="0"/>
  </connection>
  <connection id="133" xr16:uid="{B085EA4F-E678-4FA3-BD1E-B85490931ECF}" keepAlive="1" name="Connection217" type="5" refreshedVersion="0" background="1">
    <dbPr connection="Provider=Microsoft.Mashup.OleDb.1;Data Source=$Workbook$;Location=Table115;Extended Properties=&quot;&quot;" commandType="0"/>
  </connection>
  <connection id="134" xr16:uid="{B6B72664-AC7E-438B-903F-C5BC760611CC}" keepAlive="1" name="Connection218" type="5" refreshedVersion="0" background="1">
    <dbPr connection="Provider=Microsoft.Mashup.OleDb.1;Data Source=$Workbook$;Location=Table115;Extended Properties=&quot;&quot;" commandType="0"/>
  </connection>
  <connection id="135" xr16:uid="{9A7113B7-919A-4AB6-82EE-33CEDA920F0B}" keepAlive="1" name="Connection219" type="5" refreshedVersion="0" background="1">
    <dbPr connection="Provider=Microsoft.Mashup.OleDb.1;Data Source=$Workbook$;Location=Table115;Extended Properties=&quot;&quot;" commandType="0"/>
  </connection>
  <connection id="136" xr16:uid="{61A32170-9BEA-476F-AB00-385F32C9909C}" keepAlive="1" name="Connection22" type="5" refreshedVersion="0" background="1">
    <dbPr connection="Provider=Microsoft.Mashup.OleDb.1;Data Source=$Workbook$;Location=TablaDatos;Extended Properties=&quot;&quot;" commandType="0"/>
  </connection>
  <connection id="137" xr16:uid="{89430587-B31D-4C7B-8AD4-74559AC0E5FF}" keepAlive="1" name="Connection220" type="5" refreshedVersion="0" background="1">
    <dbPr connection="Provider=Microsoft.Mashup.OleDb.1;Data Source=$Workbook$;Location=Table115;Extended Properties=&quot;&quot;" commandType="0"/>
  </connection>
  <connection id="138" xr16:uid="{AA8A4C09-9006-4CCD-A365-3E8BBDFF3B90}" keepAlive="1" name="Connection23" type="5" refreshedVersion="0" background="1">
    <dbPr connection="Provider=Microsoft.Mashup.OleDb.1;Data Source=$Workbook$;Location=TablaDatos;Extended Properties=&quot;&quot;" commandType="0"/>
  </connection>
  <connection id="139" xr16:uid="{C18E9FB9-3B00-46DF-A8FE-7EA4B8453EE5}" keepAlive="1" name="Connection24" type="5" refreshedVersion="0" background="1">
    <dbPr connection="Provider=Microsoft.Mashup.OleDb.1;Data Source=$Workbook$;Location=TablaDatos;Extended Properties=&quot;&quot;" commandType="0"/>
  </connection>
  <connection id="140" xr16:uid="{D6435AAA-922A-4F72-AE03-B2D2CC11140F}" keepAlive="1" name="Connection25" type="5" refreshedVersion="0" background="1">
    <dbPr connection="Provider=Microsoft.Mashup.OleDb.1;Data Source=$Workbook$;Location=TablaDatos;Extended Properties=&quot;&quot;" commandType="0"/>
  </connection>
  <connection id="141" xr16:uid="{1D717A7D-64A4-4DB8-B3DC-315D1661FA4E}" keepAlive="1" name="Connection26" type="5" refreshedVersion="0" background="1">
    <dbPr connection="Provider=Microsoft.Mashup.OleDb.1;Data Source=$Workbook$;Location=TablaDatos;Extended Properties=&quot;&quot;" commandType="0"/>
  </connection>
  <connection id="142" xr16:uid="{B259F34A-2BBC-49C2-BF3F-005A0D6AC7DB}" keepAlive="1" name="Connection27" type="5" refreshedVersion="0" background="1">
    <dbPr connection="Provider=Microsoft.Mashup.OleDb.1;Data Source=$Workbook$;Location=TablaDatos;Extended Properties=&quot;&quot;" commandType="0"/>
  </connection>
  <connection id="143" xr16:uid="{538EEBC3-28DD-48B2-B35D-90D0CFBD1AF9}" keepAlive="1" name="Connection28" type="5" refreshedVersion="0" background="1">
    <dbPr connection="Provider=Microsoft.Mashup.OleDb.1;Data Source=$Workbook$;Location=TablaDatos;Extended Properties=&quot;&quot;" commandType="0"/>
  </connection>
  <connection id="144" xr16:uid="{D1A9F028-D5BE-4358-9275-D46DC6018CFB}" keepAlive="1" name="Connection29" type="5" refreshedVersion="0" background="1">
    <dbPr connection="Provider=Microsoft.Mashup.OleDb.1;Data Source=$Workbook$;Location=TablaDatos;Extended Properties=&quot;&quot;" commandType="0"/>
  </connection>
  <connection id="145" xr16:uid="{760FF5D4-EAC9-4DCD-A64A-432D54591577}" keepAlive="1" name="Connection3" type="5" refreshedVersion="0" background="1">
    <dbPr connection="Provider=Microsoft.Mashup.OleDb.1;Data Source=$Workbook$;Location=Table;Extended Properties=&quot;&quot;" commandType="0"/>
  </connection>
  <connection id="146" xr16:uid="{54440C8E-566D-4089-90B3-ABCA997D77DE}" keepAlive="1" name="Connection30" type="5" refreshedVersion="0" background="1">
    <dbPr connection="Provider=Microsoft.Mashup.OleDb.1;Data Source=$Workbook$;Location=TablaDatos;Extended Properties=&quot;&quot;" commandType="0"/>
  </connection>
  <connection id="147" xr16:uid="{0AF7B03D-A9C1-440E-A091-26110E7A7C39}" keepAlive="1" name="Connection31" type="5" refreshedVersion="0" background="1">
    <dbPr connection="Provider=Microsoft.Mashup.OleDb.1;Data Source=$Workbook$;Location=TablaDatos;Extended Properties=&quot;&quot;" commandType="0"/>
  </connection>
  <connection id="148" xr16:uid="{518CAC4F-6480-4B34-8B50-61064A953278}" keepAlive="1" name="Connection32" type="5" refreshedVersion="0" background="1">
    <dbPr connection="Provider=Microsoft.Mashup.OleDb.1;Data Source=$Workbook$;Location=TablaDatos;Extended Properties=&quot;&quot;" commandType="0"/>
  </connection>
  <connection id="149" xr16:uid="{005E05D5-CE48-47A0-BB99-EB3A8EC0F016}" keepAlive="1" name="Connection33" type="5" refreshedVersion="0" background="1">
    <dbPr connection="Provider=Microsoft.Mashup.OleDb.1;Data Source=$Workbook$;Location=TablaDatos;Extended Properties=&quot;&quot;" commandType="0"/>
  </connection>
  <connection id="150" xr16:uid="{91C6E4E4-37A6-4A43-B5A8-65FACC923C59}" keepAlive="1" name="Connection34" type="5" refreshedVersion="0" background="1">
    <dbPr connection="Provider=Microsoft.Mashup.OleDb.1;Data Source=$Workbook$;Location=TablaDatos;Extended Properties=&quot;&quot;" commandType="0"/>
  </connection>
  <connection id="151" xr16:uid="{1A0AAFDD-5D86-4466-8C2F-A8EFB94593CF}" keepAlive="1" name="Connection35" type="5" refreshedVersion="0" background="1">
    <dbPr connection="Provider=Microsoft.Mashup.OleDb.1;Data Source=$Workbook$;Location=TablaDatos;Extended Properties=&quot;&quot;" commandType="0"/>
  </connection>
  <connection id="152" xr16:uid="{28A43656-D880-43FB-9C86-4144ADE6FB91}" keepAlive="1" name="Connection36" type="5" refreshedVersion="0" background="1">
    <dbPr connection="Provider=Microsoft.Mashup.OleDb.1;Data Source=$Workbook$;Location=TablaDatos;Extended Properties=&quot;&quot;" commandType="0"/>
  </connection>
  <connection id="153" xr16:uid="{2A7B4C4C-7550-42C4-BF8E-22128B437D1F}" keepAlive="1" name="Connection37" type="5" refreshedVersion="0" background="1">
    <dbPr connection="Provider=Microsoft.Mashup.OleDb.1;Data Source=$Workbook$;Location=TablaDatos;Extended Properties=&quot;&quot;" commandType="0"/>
  </connection>
  <connection id="154" xr16:uid="{825F8696-1654-4AAD-BB1D-D3CD0D0FDC38}" keepAlive="1" name="Connection38" type="5" refreshedVersion="0" background="1">
    <dbPr connection="Provider=Microsoft.Mashup.OleDb.1;Data Source=$Workbook$;Location=TablaDatos;Extended Properties=&quot;&quot;" commandType="0"/>
  </connection>
  <connection id="155" xr16:uid="{68D416B0-3205-434F-A56B-C9FEE2A08B5F}" keepAlive="1" name="Connection39" type="5" refreshedVersion="0" background="1">
    <dbPr connection="Provider=Microsoft.Mashup.OleDb.1;Data Source=$Workbook$;Location=TablaDatos;Extended Properties=&quot;&quot;" commandType="0"/>
  </connection>
  <connection id="156" xr16:uid="{D048B7B1-B405-437C-86BD-025BD88372CF}" keepAlive="1" name="Connection4" type="5" refreshedVersion="0" background="1">
    <dbPr connection="Provider=Microsoft.Mashup.OleDb.1;Data Source=$Workbook$;Location=TablaDatos;Extended Properties=&quot;&quot;" commandType="0"/>
  </connection>
  <connection id="157" xr16:uid="{0A185B33-4B9D-42A1-99D6-A77C0738DA84}" keepAlive="1" name="Connection40" type="5" refreshedVersion="0" background="1">
    <dbPr connection="Provider=Microsoft.Mashup.OleDb.1;Data Source=$Workbook$;Location=TablaDatos;Extended Properties=&quot;&quot;" commandType="0"/>
  </connection>
  <connection id="158" xr16:uid="{349F8663-0EE0-4A3A-A908-143251E24D5A}" keepAlive="1" name="Connection41" type="5" refreshedVersion="0" background="1">
    <dbPr connection="Provider=Microsoft.Mashup.OleDb.1;Data Source=$Workbook$;Location=TablaDatos;Extended Properties=&quot;&quot;" commandType="0"/>
  </connection>
  <connection id="159" xr16:uid="{4AB772DC-2733-4D20-91DF-F5A4AF24B1A8}" keepAlive="1" name="Connection42" type="5" refreshedVersion="0" background="1">
    <dbPr connection="Provider=Microsoft.Mashup.OleDb.1;Data Source=$Workbook$;Location=TablaDatos;Extended Properties=&quot;&quot;" commandType="0"/>
  </connection>
  <connection id="160" xr16:uid="{ABECD81C-78AC-4F12-BF39-11AABD8E7793}" keepAlive="1" name="Connection43" type="5" refreshedVersion="0" background="1">
    <dbPr connection="Provider=Microsoft.Mashup.OleDb.1;Data Source=$Workbook$;Location=TablaDatos;Extended Properties=&quot;&quot;" commandType="0"/>
  </connection>
  <connection id="161" xr16:uid="{2E30ACA0-253C-42DE-8149-1022F3590195}" keepAlive="1" name="Connection44" type="5" refreshedVersion="0" background="1">
    <dbPr connection="Provider=Microsoft.Mashup.OleDb.1;Data Source=$Workbook$;Location=TablaDatos;Extended Properties=&quot;&quot;" commandType="0"/>
  </connection>
  <connection id="162" xr16:uid="{0D6E2059-5699-41DE-A2CB-28B998BB45C8}" keepAlive="1" name="Connection45" type="5" refreshedVersion="0" background="1">
    <dbPr connection="Provider=Microsoft.Mashup.OleDb.1;Data Source=$Workbook$;Location=TablaDatos;Extended Properties=&quot;&quot;" commandType="0"/>
  </connection>
  <connection id="163" xr16:uid="{9EEBF1E1-1D8F-4E06-881C-C604F6AC094E}" keepAlive="1" name="Connection46" type="5" refreshedVersion="0" background="1">
    <dbPr connection="Provider=Microsoft.Mashup.OleDb.1;Data Source=$Workbook$;Location=TablaDatos;Extended Properties=&quot;&quot;" commandType="0"/>
  </connection>
  <connection id="164" xr16:uid="{90B46FF5-AC7B-462B-BA1B-D142AB094911}" keepAlive="1" name="Connection47" type="5" refreshedVersion="0" background="1">
    <dbPr connection="Provider=Microsoft.Mashup.OleDb.1;Data Source=$Workbook$;Location=TablaDatos;Extended Properties=&quot;&quot;" commandType="0"/>
  </connection>
  <connection id="165" xr16:uid="{37706727-5692-4B22-8070-A87D716F2975}" keepAlive="1" name="Connection48" type="5" refreshedVersion="0" background="1">
    <dbPr connection="Provider=Microsoft.Mashup.OleDb.1;Data Source=$Workbook$;Location=TablaDatos;Extended Properties=&quot;&quot;" commandType="0"/>
  </connection>
  <connection id="166" xr16:uid="{AD285D06-D276-4AEA-954B-26F146C278AE}" keepAlive="1" name="Connection49" type="5" refreshedVersion="0" background="1">
    <dbPr connection="Provider=Microsoft.Mashup.OleDb.1;Data Source=$Workbook$;Location=TablaDatos;Extended Properties=&quot;&quot;" commandType="0"/>
  </connection>
  <connection id="167" xr16:uid="{25C420B6-15A5-445B-8201-2DB6FCF74D1B}" keepAlive="1" name="Connection5" type="5" refreshedVersion="0" background="1">
    <dbPr connection="Provider=Microsoft.Mashup.OleDb.1;Data Source=$Workbook$;Location=TablaDatos;Extended Properties=&quot;&quot;" commandType="0"/>
  </connection>
  <connection id="168" xr16:uid="{7726BD4C-21AD-4FC6-91CA-DDB99BF00724}" keepAlive="1" name="Connection50" type="5" refreshedVersion="0" background="1">
    <dbPr connection="Provider=Microsoft.Mashup.OleDb.1;Data Source=$Workbook$;Location=TablaDatos;Extended Properties=&quot;&quot;" commandType="0"/>
  </connection>
  <connection id="169" xr16:uid="{AF4961B3-78E7-45C6-BDEB-6305678A4C59}" keepAlive="1" name="Connection51" type="5" refreshedVersion="0" background="1">
    <dbPr connection="Provider=Microsoft.Mashup.OleDb.1;Data Source=$Workbook$;Location=TablaDatos;Extended Properties=&quot;&quot;" commandType="0"/>
  </connection>
  <connection id="170" xr16:uid="{6AD84D35-7212-40E3-9A23-BA803BAC39A1}" keepAlive="1" name="Connection52" type="5" refreshedVersion="0" background="1">
    <dbPr connection="Provider=Microsoft.Mashup.OleDb.1;Data Source=$Workbook$;Location=TablaDatos;Extended Properties=&quot;&quot;" commandType="0"/>
  </connection>
  <connection id="171" xr16:uid="{9481BCFF-DC64-4764-A5C4-E6CC4F409BC2}" keepAlive="1" name="Connection53" type="5" refreshedVersion="0" background="1">
    <dbPr connection="Provider=Microsoft.Mashup.OleDb.1;Data Source=$Workbook$;Location=TablaDatos;Extended Properties=&quot;&quot;" commandType="0"/>
  </connection>
  <connection id="172" xr16:uid="{AFF256E2-D42C-4CF0-B042-17BE96544EC9}" keepAlive="1" name="Connection54" type="5" refreshedVersion="0" background="1">
    <dbPr connection="Provider=Microsoft.Mashup.OleDb.1;Data Source=$Workbook$;Location=TablaDatos;Extended Properties=&quot;&quot;" commandType="0"/>
  </connection>
  <connection id="173" xr16:uid="{76B03CBD-6515-4620-93A8-41A6E6ACF627}" keepAlive="1" name="Connection55" type="5" refreshedVersion="0" background="1">
    <dbPr connection="Provider=Microsoft.Mashup.OleDb.1;Data Source=$Workbook$;Location=TablaDatos;Extended Properties=&quot;&quot;" commandType="0"/>
  </connection>
  <connection id="174" xr16:uid="{3CB22D3E-44E8-4453-AADC-4A981288B1DE}" keepAlive="1" name="Connection56" type="5" refreshedVersion="0" background="1">
    <dbPr connection="Provider=Microsoft.Mashup.OleDb.1;Data Source=$Workbook$;Location=TablaDatos;Extended Properties=&quot;&quot;" commandType="0"/>
  </connection>
  <connection id="175" xr16:uid="{48253A1E-B6BE-4C6D-B8A6-68C36FF85D53}" keepAlive="1" name="Connection57" type="5" refreshedVersion="0" background="1">
    <dbPr connection="Provider=Microsoft.Mashup.OleDb.1;Data Source=$Workbook$;Location=TablaDatos;Extended Properties=&quot;&quot;" commandType="0"/>
  </connection>
  <connection id="176" xr16:uid="{5EF8DD16-4F27-49A5-A9FD-D00E12250A27}" keepAlive="1" name="Connection58" type="5" refreshedVersion="0" background="1">
    <dbPr connection="Provider=Microsoft.Mashup.OleDb.1;Data Source=$Workbook$;Location=TablaDatos;Extended Properties=&quot;&quot;" commandType="0"/>
  </connection>
  <connection id="177" xr16:uid="{95C2AED5-681A-477C-A302-F3639A88C479}" keepAlive="1" name="Connection59" type="5" refreshedVersion="0" background="1">
    <dbPr connection="Provider=Microsoft.Mashup.OleDb.1;Data Source=$Workbook$;Location=TablaDatos;Extended Properties=&quot;&quot;" commandType="0"/>
  </connection>
  <connection id="178" xr16:uid="{11E0EE0C-AE50-4EC6-9823-D433FC1F7E6E}" keepAlive="1" name="Connection6" type="5" refreshedVersion="0" background="1">
    <dbPr connection="Provider=Microsoft.Mashup.OleDb.1;Data Source=$Workbook$;Location=TablaDatos;Extended Properties=&quot;&quot;" commandType="0"/>
  </connection>
  <connection id="179" xr16:uid="{658A78C8-27E9-4FEA-B519-022AB6AD005E}" keepAlive="1" name="Connection60" type="5" refreshedVersion="0" background="1">
    <dbPr connection="Provider=Microsoft.Mashup.OleDb.1;Data Source=$Workbook$;Location=TablaDatos;Extended Properties=&quot;&quot;" commandType="0"/>
  </connection>
  <connection id="180" xr16:uid="{F96C3556-F430-42D0-96D3-CF3E20653D6B}" keepAlive="1" name="Connection61" type="5" refreshedVersion="0" background="1">
    <dbPr connection="Provider=Microsoft.Mashup.OleDb.1;Data Source=$Workbook$;Location=TablaDatos;Extended Properties=&quot;&quot;" commandType="0"/>
  </connection>
  <connection id="181" xr16:uid="{BDE3B880-E7F4-489C-ABCB-CD61505CC0E9}" keepAlive="1" name="Connection62" type="5" refreshedVersion="0" background="1">
    <dbPr connection="Provider=Microsoft.Mashup.OleDb.1;Data Source=$Workbook$;Location=TablaDatos;Extended Properties=&quot;&quot;" commandType="0"/>
  </connection>
  <connection id="182" xr16:uid="{B4149D69-CCC5-4383-904C-117D0E2848B3}" keepAlive="1" name="Connection63" type="5" refreshedVersion="0" background="1">
    <dbPr connection="Provider=Microsoft.Mashup.OleDb.1;Data Source=$Workbook$;Location=TablaDatos;Extended Properties=&quot;&quot;" commandType="0"/>
  </connection>
  <connection id="183" xr16:uid="{E92A944C-6957-4967-9B6A-7C6763165870}" keepAlive="1" name="Connection64" type="5" refreshedVersion="0" background="1">
    <dbPr connection="Provider=Microsoft.Mashup.OleDb.1;Data Source=$Workbook$;Location=TablaDatos;Extended Properties=&quot;&quot;" commandType="0"/>
  </connection>
  <connection id="184" xr16:uid="{95DE90D8-F27F-4B38-88B4-043E9D83637F}" keepAlive="1" name="Connection65" type="5" refreshedVersion="0" background="1">
    <dbPr connection="Provider=Microsoft.Mashup.OleDb.1;Data Source=$Workbook$;Location=TablaDatos;Extended Properties=&quot;&quot;" commandType="0"/>
  </connection>
  <connection id="185" xr16:uid="{74FC3CA5-247E-4A53-84AF-477B63202C6D}" keepAlive="1" name="Connection66" type="5" refreshedVersion="0" background="1">
    <dbPr connection="Provider=Microsoft.Mashup.OleDb.1;Data Source=$Workbook$;Location=TablaDatos;Extended Properties=&quot;&quot;" commandType="0"/>
  </connection>
  <connection id="186" xr16:uid="{6A92BF79-BD3E-4BB5-BA35-67CC98B47801}" keepAlive="1" name="Connection67" type="5" refreshedVersion="0" background="1">
    <dbPr connection="Provider=Microsoft.Mashup.OleDb.1;Data Source=$Workbook$;Location=TablaDatos;Extended Properties=&quot;&quot;" commandType="0"/>
  </connection>
  <connection id="187" xr16:uid="{D96946BC-910F-4F6E-A96D-CF2FEC11AB51}" keepAlive="1" name="Connection68" type="5" refreshedVersion="0" background="1">
    <dbPr connection="Provider=Microsoft.Mashup.OleDb.1;Data Source=$Workbook$;Location=TablaDatos;Extended Properties=&quot;&quot;" commandType="0"/>
  </connection>
  <connection id="188" xr16:uid="{B6291EC7-17CF-4CBB-871B-853CBFB4A64D}" keepAlive="1" name="Connection69" type="5" refreshedVersion="0" background="1">
    <dbPr connection="Provider=Microsoft.Mashup.OleDb.1;Data Source=$Workbook$;Location=TablaDatos;Extended Properties=&quot;&quot;" commandType="0"/>
  </connection>
  <connection id="189" xr16:uid="{DFB54133-8346-4CA9-9D55-AA9521C806A5}" keepAlive="1" name="Connection7" type="5" refreshedVersion="0" background="1">
    <dbPr connection="Provider=Microsoft.Mashup.OleDb.1;Data Source=$Workbook$;Location=TablaDatos;Extended Properties=&quot;&quot;" commandType="0"/>
  </connection>
  <connection id="190" xr16:uid="{4F5D70B3-1FC3-4EBB-A93D-29C21B71E141}" keepAlive="1" name="Connection70" type="5" refreshedVersion="0" background="1">
    <dbPr connection="Provider=Microsoft.Mashup.OleDb.1;Data Source=$Workbook$;Location=TablaDatos;Extended Properties=&quot;&quot;" commandType="0"/>
  </connection>
  <connection id="191" xr16:uid="{504B83C0-D7D9-4032-957E-FF1C373E9CF0}" keepAlive="1" name="Connection71" type="5" refreshedVersion="0" background="1">
    <dbPr connection="Provider=Microsoft.Mashup.OleDb.1;Data Source=$Workbook$;Location=TablaDatos;Extended Properties=&quot;&quot;" commandType="0"/>
  </connection>
  <connection id="192" xr16:uid="{107CAEC3-2B66-429E-BE36-ABE8364E5A16}" keepAlive="1" name="Connection72" type="5" refreshedVersion="0" background="1">
    <dbPr connection="Provider=Microsoft.Mashup.OleDb.1;Data Source=$Workbook$;Location=TablaDatos;Extended Properties=&quot;&quot;" commandType="0"/>
  </connection>
  <connection id="193" xr16:uid="{569D7330-B636-474A-8B1F-12C30A26A439}" keepAlive="1" name="Connection73" type="5" refreshedVersion="0" background="1">
    <dbPr connection="Provider=Microsoft.Mashup.OleDb.1;Data Source=$Workbook$;Location=TablaDatos;Extended Properties=&quot;&quot;" commandType="0"/>
  </connection>
  <connection id="194" xr16:uid="{FC9A667D-A304-4A7D-BF50-ABFCA34E5EDD}" keepAlive="1" name="Connection74" type="5" refreshedVersion="0" background="1">
    <dbPr connection="Provider=Microsoft.Mashup.OleDb.1;Data Source=$Workbook$;Location=TablaDatos;Extended Properties=&quot;&quot;" commandType="0"/>
  </connection>
  <connection id="195" xr16:uid="{6A4C2BF9-74D9-40AC-A22A-64E871496E6A}" keepAlive="1" name="Connection75" type="5" refreshedVersion="0" background="1">
    <dbPr connection="Provider=Microsoft.Mashup.OleDb.1;Data Source=$Workbook$;Location=TablaDatos;Extended Properties=&quot;&quot;" commandType="0"/>
  </connection>
  <connection id="196" xr16:uid="{9A0304CD-DF3D-41E8-A3BA-3312FC58A8BA}" keepAlive="1" name="Connection76" type="5" refreshedVersion="0" background="1">
    <dbPr connection="Provider=Microsoft.Mashup.OleDb.1;Data Source=$Workbook$;Location=TablaDatos;Extended Properties=&quot;&quot;" commandType="0"/>
  </connection>
  <connection id="197" xr16:uid="{BDAB26BE-64A2-4994-91B6-23E4A7859B16}" keepAlive="1" name="Connection77" type="5" refreshedVersion="0" background="1">
    <dbPr connection="Provider=Microsoft.Mashup.OleDb.1;Data Source=$Workbook$;Location=TablaDatos;Extended Properties=&quot;&quot;" commandType="0"/>
  </connection>
  <connection id="198" xr16:uid="{921DE939-8423-45B8-ACC1-3D510A945257}" keepAlive="1" name="Connection78" type="5" refreshedVersion="0" background="1">
    <dbPr connection="Provider=Microsoft.Mashup.OleDb.1;Data Source=$Workbook$;Location=TablaDatos;Extended Properties=&quot;&quot;" commandType="0"/>
  </connection>
  <connection id="199" xr16:uid="{CDE822E8-CB06-4312-887A-000318721B14}" keepAlive="1" name="Connection79" type="5" refreshedVersion="0" background="1">
    <dbPr connection="Provider=Microsoft.Mashup.OleDb.1;Data Source=$Workbook$;Location=TablaDatos;Extended Properties=&quot;&quot;" commandType="0"/>
  </connection>
  <connection id="200" xr16:uid="{0ACB565F-D2B6-4468-905D-4FC0ABC12477}" keepAlive="1" name="Connection8" type="5" refreshedVersion="0" background="1">
    <dbPr connection="Provider=Microsoft.Mashup.OleDb.1;Data Source=$Workbook$;Location=TablaDatos;Extended Properties=&quot;&quot;" commandType="0"/>
  </connection>
  <connection id="201" xr16:uid="{3A537490-AB82-4363-B375-1E5DCFDA59B6}" keepAlive="1" name="Connection80" type="5" refreshedVersion="0" background="1">
    <dbPr connection="Provider=Microsoft.Mashup.OleDb.1;Data Source=$Workbook$;Location=TablaDatos;Extended Properties=&quot;&quot;" commandType="0"/>
  </connection>
  <connection id="202" xr16:uid="{7C36259D-1FC7-44EB-801D-B3B371040C81}" keepAlive="1" name="Connection81" type="5" refreshedVersion="0" background="1">
    <dbPr connection="Provider=Microsoft.Mashup.OleDb.1;Data Source=$Workbook$;Location=TablaDatos;Extended Properties=&quot;&quot;" commandType="0"/>
  </connection>
  <connection id="203" xr16:uid="{75392BFA-37E7-4765-B759-AB596F0EBE87}" keepAlive="1" name="Connection82" type="5" refreshedVersion="0" background="1">
    <dbPr connection="Provider=Microsoft.Mashup.OleDb.1;Data Source=$Workbook$;Location=TablaDatos;Extended Properties=&quot;&quot;" commandType="0"/>
  </connection>
  <connection id="204" xr16:uid="{10DF0BF9-D2E9-4DC8-BFF1-62984B007FFA}" keepAlive="1" name="Connection83" type="5" refreshedVersion="0" background="1">
    <dbPr connection="Provider=Microsoft.Mashup.OleDb.1;Data Source=$Workbook$;Location=TablaDatos;Extended Properties=&quot;&quot;" commandType="0"/>
  </connection>
  <connection id="205" xr16:uid="{90B03B36-B83B-4AB0-9879-9048747DCF5D}" keepAlive="1" name="Connection84" type="5" refreshedVersion="0" background="1">
    <dbPr connection="Provider=Microsoft.Mashup.OleDb.1;Data Source=$Workbook$;Location=TablaDatos;Extended Properties=&quot;&quot;" commandType="0"/>
  </connection>
  <connection id="206" xr16:uid="{3C13BC91-5CE5-4F0F-9FBB-2E563F02B510}" keepAlive="1" name="Connection85" type="5" refreshedVersion="0" background="1">
    <dbPr connection="Provider=Microsoft.Mashup.OleDb.1;Data Source=$Workbook$;Location=TablaDatos;Extended Properties=&quot;&quot;" commandType="0"/>
  </connection>
  <connection id="207" xr16:uid="{D47D4526-7F2D-40EF-A0D3-6CD967CBC55C}" keepAlive="1" name="Connection86" type="5" refreshedVersion="0" background="1">
    <dbPr connection="Provider=Microsoft.Mashup.OleDb.1;Data Source=$Workbook$;Location=TablaDatos;Extended Properties=&quot;&quot;" commandType="0"/>
  </connection>
  <connection id="208" xr16:uid="{CD20A22D-D251-438B-98F5-9F299E5FF119}" keepAlive="1" name="Connection87" type="5" refreshedVersion="0" background="1">
    <dbPr connection="Provider=Microsoft.Mashup.OleDb.1;Data Source=$Workbook$;Location=TablaDatos;Extended Properties=&quot;&quot;" commandType="0"/>
  </connection>
  <connection id="209" xr16:uid="{E3487D6A-D14C-4243-9373-365263AC24F8}" keepAlive="1" name="Connection88" type="5" refreshedVersion="0" background="1">
    <dbPr connection="Provider=Microsoft.Mashup.OleDb.1;Data Source=$Workbook$;Location=TablaDatos;Extended Properties=&quot;&quot;" commandType="0"/>
  </connection>
  <connection id="210" xr16:uid="{2FA4DF33-2F0B-4DB2-AB09-3299A13B4689}" keepAlive="1" name="Connection89" type="5" refreshedVersion="0" background="1">
    <dbPr connection="Provider=Microsoft.Mashup.OleDb.1;Data Source=$Workbook$;Location=TablaDatos;Extended Properties=&quot;&quot;" commandType="0"/>
  </connection>
  <connection id="211" xr16:uid="{220F67D4-A611-4970-9791-5D431C44CA09}" keepAlive="1" name="Connection9" type="5" refreshedVersion="0" background="1">
    <dbPr connection="Provider=Microsoft.Mashup.OleDb.1;Data Source=$Workbook$;Location=TablaDatos;Extended Properties=&quot;&quot;" commandType="0"/>
  </connection>
  <connection id="212" xr16:uid="{4A800F17-511D-41A9-A716-39AB2E4859A4}" keepAlive="1" name="Connection90" type="5" refreshedVersion="0" background="1">
    <dbPr connection="Provider=Microsoft.Mashup.OleDb.1;Data Source=$Workbook$;Location=TablaDatos;Extended Properties=&quot;&quot;" commandType="0"/>
  </connection>
  <connection id="213" xr16:uid="{64FEA7FB-CCDF-40A7-BED7-2D4BD2F39C35}" keepAlive="1" name="Connection91" type="5" refreshedVersion="0" background="1">
    <dbPr connection="Provider=Microsoft.Mashup.OleDb.1;Data Source=$Workbook$;Location=TablaDatos;Extended Properties=&quot;&quot;" commandType="0"/>
  </connection>
  <connection id="214" xr16:uid="{7E2A8B24-082E-4BAD-8313-C365CC73FC76}" keepAlive="1" name="Connection92" type="5" refreshedVersion="0" background="1">
    <dbPr connection="Provider=Microsoft.Mashup.OleDb.1;Data Source=$Workbook$;Location=TablaDatos;Extended Properties=&quot;&quot;" commandType="0"/>
  </connection>
  <connection id="215" xr16:uid="{AAEF83B3-0867-49ED-A150-CEC69F3EC0BD}" keepAlive="1" name="Connection93" type="5" refreshedVersion="0" background="1">
    <dbPr connection="Provider=Microsoft.Mashup.OleDb.1;Data Source=$Workbook$;Location=TablaDatos;Extended Properties=&quot;&quot;" commandType="0"/>
  </connection>
  <connection id="216" xr16:uid="{DF171514-8DDC-42C7-B38A-44DD52C2FB5A}" keepAlive="1" name="Connection94" type="5" refreshedVersion="0" background="1">
    <dbPr connection="Provider=Microsoft.Mashup.OleDb.1;Data Source=$Workbook$;Location=TablaDatos;Extended Properties=&quot;&quot;" commandType="0"/>
  </connection>
  <connection id="217" xr16:uid="{D3AAA96B-227D-41CC-9F9E-4099795454E5}" keepAlive="1" name="Connection95" type="5" refreshedVersion="0" background="1">
    <dbPr connection="Provider=Microsoft.Mashup.OleDb.1;Data Source=$Workbook$;Location=TablaDatos;Extended Properties=&quot;&quot;" commandType="0"/>
  </connection>
  <connection id="218" xr16:uid="{355BC569-E530-4EE1-8D0C-1E8A1B180076}" keepAlive="1" name="Connection96" type="5" refreshedVersion="0" background="1">
    <dbPr connection="Provider=Microsoft.Mashup.OleDb.1;Data Source=$Workbook$;Location=TablaDatos;Extended Properties=&quot;&quot;" commandType="0"/>
  </connection>
  <connection id="219" xr16:uid="{9845D853-C1B6-4A89-A203-75F58829B1C5}" keepAlive="1" name="Connection97" type="5" refreshedVersion="0" background="1">
    <dbPr connection="Provider=Microsoft.Mashup.OleDb.1;Data Source=$Workbook$;Location=TablaDatos;Extended Properties=&quot;&quot;" commandType="0"/>
  </connection>
  <connection id="220" xr16:uid="{54554FDF-4774-4577-AC48-3A82DCED4436}" keepAlive="1" name="Connection98" type="5" refreshedVersion="0" background="1">
    <dbPr connection="Provider=Microsoft.Mashup.OleDb.1;Data Source=$Workbook$;Location=TablaDatos;Extended Properties=&quot;&quot;" commandType="0"/>
  </connection>
  <connection id="221" xr16:uid="{B9AEB3D8-5F23-451F-9C98-2B45E24FD369}" keepAlive="1" name="Connection99" type="5" refreshedVersion="0" background="1">
    <dbPr connection="Provider=Microsoft.Mashup.OleDb.1;Data Source=$Workbook$;Location=TablaDatos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<sst xmlns="http://schemas.openxmlformats.org/spreadsheetml/2006/main" count="55" uniqueCount="53">
  <si>
    <t>Destino</t>
  </si>
  <si>
    <t>Destinatario</t>
  </si>
  <si>
    <t>Asunto</t>
  </si>
  <si>
    <t>Fecha</t>
  </si>
  <si>
    <t>Volumen Tanque [Gal]</t>
  </si>
  <si>
    <t>Ø Exterior</t>
  </si>
  <si>
    <t>Logitud Cilindrica</t>
  </si>
  <si>
    <t>Distancia entre Colgaderos</t>
  </si>
  <si>
    <t>Distancia al centro refuerzos</t>
  </si>
  <si>
    <t>Nombre Parametro Inventor</t>
  </si>
  <si>
    <t>N/A</t>
  </si>
  <si>
    <t>d0</t>
  </si>
  <si>
    <t>d6</t>
  </si>
  <si>
    <t>LT</t>
  </si>
  <si>
    <t>DSC</t>
  </si>
  <si>
    <t>d16</t>
  </si>
  <si>
    <t>Datos cliente</t>
  </si>
  <si>
    <t>Nombre</t>
  </si>
  <si>
    <t>Correo electrónico</t>
  </si>
  <si>
    <t>Dirección</t>
  </si>
  <si>
    <t>Número de contacto</t>
  </si>
  <si>
    <t>Datos Correo</t>
  </si>
  <si>
    <t>CASO</t>
  </si>
  <si>
    <t>Medidas Tanques</t>
  </si>
  <si>
    <t>Capacidad</t>
  </si>
  <si>
    <t>Medidas Tablero</t>
  </si>
  <si>
    <t>biciklofjbt@gmail.com</t>
  </si>
  <si>
    <t>proyectocomputaciongrafica2022@gmail.com</t>
  </si>
  <si>
    <t>Cometidas monofásicas</t>
  </si>
  <si>
    <t>Cometidas bifásicas</t>
  </si>
  <si>
    <t>Cometidas trifásicas</t>
  </si>
  <si>
    <t>Cantidad de bandejas</t>
  </si>
  <si>
    <t>Empresa</t>
  </si>
  <si>
    <t>Longitud Total Ext. Deoende de la cilindrica</t>
  </si>
  <si>
    <t>Volumen voleado</t>
  </si>
  <si>
    <t>Intento de vol voleado</t>
  </si>
  <si>
    <t>#Laminas</t>
  </si>
  <si>
    <t>Long cil est</t>
  </si>
  <si>
    <t>Galonaje</t>
  </si>
  <si>
    <t>V en mm3</t>
  </si>
  <si>
    <t>Long Cil</t>
  </si>
  <si>
    <t>Diametro Ext.</t>
  </si>
  <si>
    <t>Dist colg</t>
  </si>
  <si>
    <t>Dist Centro R</t>
  </si>
  <si>
    <t>Nombre Empresa</t>
  </si>
  <si>
    <t>Pepitos SA</t>
  </si>
  <si>
    <t>Dext</t>
  </si>
  <si>
    <t>Lcil</t>
  </si>
  <si>
    <t>DCR</t>
  </si>
  <si>
    <t>Modelado tanques</t>
  </si>
  <si>
    <t>Andres Holguin</t>
  </si>
  <si>
    <t>aholguinr@unal.edu.co</t>
  </si>
  <si>
    <t>Cra 45 #2685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</si>
</sst>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NumberFormat="1" applyFont="1" applyFill="1" applyBorder="1"/>
    <xf numFmtId="0" fontId="4" fillId="0" borderId="0" xfId="0" applyFont="1" applyFill="1" applyBorder="1" applyAlignment="1">
      <alignment wrapText="1"/>
    </xf>
    <xf numFmtId="0" fontId="4" fillId="0" borderId="0" xfId="0" applyFont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wrapText="1"/>
    </xf>
    <xf numFmtId="0" fontId="0" fillId="0" borderId="1" xfId="0" applyBorder="1"/>
    <xf numFmtId="0" fontId="1" fillId="0" borderId="0" xfId="0" applyFont="1" applyFill="1" applyBorder="1"/>
    <xf numFmtId="0" fontId="4" fillId="0" borderId="0" xfId="0" applyFont="1" applyFill="1" applyBorder="1"/>
    <xf numFmtId="22" fontId="4" fillId="0" borderId="0" xfId="0" applyNumberFormat="1" applyFont="1" applyFill="1" applyBorder="1"/>
    <xf numFmtId="0" fontId="4" fillId="0" borderId="5" xfId="0" applyFont="1" applyFill="1" applyBorder="1" applyAlignment="1">
      <alignment horizontal="center" vertical="center" wrapText="1"/>
    </xf>
    <xf numFmtId="22" fontId="4" fillId="0" borderId="7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NumberFormat="1"/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NumberFormat="1" applyFill="1" applyBorder="1"/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164" fontId="3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2" xfId="0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11867</xdr:rowOff>
    </xdr:from>
    <xdr:to>
      <xdr:col>2</xdr:col>
      <xdr:colOff>11722</xdr:colOff>
      <xdr:row>18</xdr:row>
      <xdr:rowOff>47309</xdr:rowOff>
    </xdr:to>
    <xdr:sp macro="[0]!EXTRAER" textlink="">
      <xdr:nvSpPr>
        <xdr:cNvPr id="2" name="Rectangle 1">
          <a:extLst>
            <a:ext uri="{FF2B5EF4-FFF2-40B4-BE49-F238E27FC236}">
              <a16:creationId xmlns:a16="http://schemas.microsoft.com/office/drawing/2014/main" id="{2419F597-0844-CA5B-EF01-5C5C1ABFDDD3}"/>
            </a:ext>
          </a:extLst>
        </xdr:cNvPr>
        <xdr:cNvSpPr/>
      </xdr:nvSpPr>
      <xdr:spPr>
        <a:xfrm>
          <a:off x="0" y="2819544"/>
          <a:ext cx="4079630" cy="580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AFC1-EAB2-4D4C-AB8A-A985D525147B}">
  <sheetPr codeName="Sheet1"/>
  <dimension ref="A1:K47"/>
  <sheetViews>
    <sheetView tabSelected="1" zoomScale="91" zoomScaleNormal="145" workbookViewId="0">
      <selection activeCell="D6" sqref="D6"/>
    </sheetView>
  </sheetViews>
  <sheetFormatPr defaultRowHeight="14.4" x14ac:dyDescent="0.3"/>
  <cols>
    <col min="1" max="2" width="45.77734375" customWidth="1"/>
    <col min="3" max="3" width="15" bestFit="1" customWidth="1"/>
    <col min="4" max="4" width="14.109375" bestFit="1" customWidth="1"/>
    <col min="5" max="5" width="10.44140625" bestFit="1" customWidth="1"/>
    <col min="6" max="6" width="21" bestFit="1" customWidth="1"/>
    <col min="7" max="8" width="25.77734375" customWidth="1"/>
    <col min="9" max="9" width="10.109375" bestFit="1" customWidth="1"/>
    <col min="10" max="10" width="13.33203125" bestFit="1" customWidth="1"/>
    <col min="11" max="12" width="13.33203125" customWidth="1"/>
    <col min="13" max="14" width="24.21875" customWidth="1"/>
  </cols>
  <sheetData>
    <row r="1" spans="1:11" ht="15" thickBot="1" x14ac:dyDescent="0.35">
      <c r="A1" s="14"/>
      <c r="B1" s="5"/>
      <c r="C1" s="5"/>
      <c r="D1" s="3"/>
      <c r="E1" s="3"/>
      <c r="F1" s="8"/>
      <c r="G1" s="7"/>
      <c r="H1" s="7"/>
      <c r="I1" s="6"/>
    </row>
    <row r="2" spans="1:11" ht="15" thickBot="1" x14ac:dyDescent="0.35">
      <c r="A2" s="64" t="s">
        <v>21</v>
      </c>
      <c r="B2" s="65"/>
      <c r="C2" s="37"/>
      <c r="D2" s="43"/>
      <c r="E2" s="43"/>
      <c r="F2" s="44"/>
      <c r="G2" s="60" t="s">
        <v>23</v>
      </c>
      <c r="H2" s="61"/>
      <c r="I2" s="6"/>
    </row>
    <row r="3" spans="1:11" ht="12.45" customHeight="1" x14ac:dyDescent="0.3">
      <c r="A3" s="21" t="s">
        <v>0</v>
      </c>
      <c r="B3" s="39" t="s">
        <v>26</v>
      </c>
      <c r="C3" s="45"/>
      <c r="D3" s="43"/>
      <c r="E3" s="43"/>
      <c r="F3" s="46"/>
      <c r="G3" s="57" t="s">
        <v>24</v>
      </c>
      <c r="H3" s="58">
        <v>5000</v>
      </c>
      <c r="I3" s="10"/>
    </row>
    <row r="4" spans="1:11" ht="12.45" customHeight="1" x14ac:dyDescent="0.3">
      <c r="A4" s="40" t="s">
        <v>1</v>
      </c>
      <c r="B4" s="15" t="s">
        <v>27</v>
      </c>
      <c r="C4" s="47"/>
      <c r="D4" s="43"/>
      <c r="E4" s="43"/>
      <c r="F4" s="46"/>
      <c r="G4" s="27" t="s">
        <v>32</v>
      </c>
      <c r="H4" s="59" t="s">
        <v>32</v>
      </c>
      <c r="I4" s="9"/>
    </row>
    <row r="5" spans="1:11" ht="12.45" customHeight="1" x14ac:dyDescent="0.3">
      <c r="A5" s="40" t="s">
        <v>2</v>
      </c>
      <c r="B5" s="41" t="s">
        <v>49</v>
      </c>
      <c r="C5" s="37"/>
      <c r="D5" s="43"/>
      <c r="E5" s="43"/>
      <c r="F5" s="44"/>
      <c r="G5" s="27" t="s">
        <v>14</v>
      </c>
      <c r="H5" s="28">
        <f>TANQUES!E13</f>
        <v>2600</v>
      </c>
      <c r="I5" s="6"/>
    </row>
    <row r="6" spans="1:11" ht="12.45" customHeight="1" thickBot="1" x14ac:dyDescent="0.35">
      <c r="A6" s="42" t="s">
        <v>3</v>
      </c>
      <c r="B6" s="16">
        <v>44881.40121527778</v>
      </c>
      <c r="C6" s="37"/>
      <c r="D6" s="43"/>
      <c r="E6" s="43"/>
      <c r="F6" s="37"/>
      <c r="G6" s="27" t="s">
        <v>46</v>
      </c>
      <c r="H6" s="28">
        <f>TANQUES!D13</f>
        <v>2096</v>
      </c>
      <c r="I6" s="13"/>
      <c r="J6" s="2"/>
      <c r="K6" s="1"/>
    </row>
    <row r="7" spans="1:11" ht="12.45" customHeight="1" thickBot="1" x14ac:dyDescent="0.35">
      <c r="A7" s="37"/>
      <c r="B7" s="48"/>
      <c r="C7" s="37"/>
      <c r="D7" s="43"/>
      <c r="E7" s="43"/>
      <c r="F7" s="49"/>
      <c r="G7" s="27" t="s">
        <v>47</v>
      </c>
      <c r="H7" s="28">
        <f>TANQUES!C13</f>
        <v>5490</v>
      </c>
      <c r="I7" s="2"/>
      <c r="J7" s="2"/>
      <c r="K7" s="1"/>
    </row>
    <row r="8" spans="1:11" ht="12.45" customHeight="1" thickBot="1" x14ac:dyDescent="0.35">
      <c r="A8" s="62" t="s">
        <v>16</v>
      </c>
      <c r="B8" s="63"/>
      <c r="C8" s="37"/>
      <c r="D8" s="43"/>
      <c r="E8" s="43"/>
      <c r="F8" s="49"/>
      <c r="G8" s="29" t="s">
        <v>48</v>
      </c>
      <c r="H8" s="30">
        <f>TANQUES!F13</f>
        <v>700</v>
      </c>
      <c r="I8" s="2"/>
      <c r="J8" s="2"/>
      <c r="K8" s="1"/>
    </row>
    <row r="9" spans="1:11" ht="12.45" customHeight="1" x14ac:dyDescent="0.3">
      <c r="A9" s="25" t="s">
        <v>17</v>
      </c>
      <c r="B9" s="22" t="s">
        <v>50</v>
      </c>
      <c r="C9" s="37"/>
      <c r="D9" s="37"/>
      <c r="E9" s="37"/>
      <c r="F9" s="49"/>
      <c r="G9" s="37"/>
      <c r="H9" s="37"/>
      <c r="I9" s="2"/>
      <c r="J9" s="2"/>
      <c r="K9" s="1"/>
    </row>
    <row r="10" spans="1:11" ht="12.45" customHeight="1" x14ac:dyDescent="0.3">
      <c r="A10" s="17" t="s">
        <v>18</v>
      </c>
      <c r="B10" s="23" t="s">
        <v>51</v>
      </c>
      <c r="C10" s="36"/>
      <c r="D10" s="33"/>
      <c r="E10" s="33"/>
      <c r="F10" s="33"/>
      <c r="G10" s="33"/>
      <c r="H10" s="33"/>
      <c r="I10" s="12"/>
      <c r="J10" s="12"/>
      <c r="K10" s="1"/>
    </row>
    <row r="11" spans="1:11" ht="12.45" customHeight="1" x14ac:dyDescent="0.3">
      <c r="A11" s="17" t="s">
        <v>19</v>
      </c>
      <c r="B11" s="23" t="s">
        <v>52</v>
      </c>
      <c r="C11" s="47"/>
      <c r="D11" s="50"/>
      <c r="E11" s="50"/>
      <c r="F11" s="50"/>
      <c r="G11" s="50"/>
      <c r="H11" s="50"/>
      <c r="I11" s="4"/>
      <c r="J11" s="4"/>
      <c r="K11" s="1"/>
    </row>
    <row r="12" spans="1:11" ht="12.45" customHeight="1" thickBot="1" x14ac:dyDescent="0.35">
      <c r="A12" s="26" t="s">
        <v>20</v>
      </c>
      <c r="B12" s="24">
        <v>3166999804</v>
      </c>
      <c r="C12" s="37"/>
      <c r="D12" s="49"/>
      <c r="E12" s="49"/>
      <c r="F12" s="49"/>
      <c r="G12" s="49"/>
      <c r="H12" s="49"/>
      <c r="I12" s="2"/>
      <c r="J12" s="2"/>
      <c r="K12" s="1"/>
    </row>
    <row r="13" spans="1:11" ht="15" thickBot="1" x14ac:dyDescent="0.35">
      <c r="A13" s="37"/>
      <c r="B13" s="37"/>
      <c r="C13" s="37"/>
      <c r="D13" s="49"/>
      <c r="E13" s="49"/>
      <c r="F13" s="49"/>
      <c r="G13" s="60" t="s">
        <v>25</v>
      </c>
      <c r="H13" s="61"/>
      <c r="I13" s="2"/>
      <c r="J13" s="2"/>
      <c r="K13" s="1"/>
    </row>
    <row r="14" spans="1:11" ht="15" thickBot="1" x14ac:dyDescent="0.35">
      <c r="A14" s="51" t="s">
        <v>22</v>
      </c>
      <c r="B14" s="52" t="str">
        <f>IF(B5="Modelado tableros","Tableros",IF(B5="Modelado tanques","Tanques","NA"))</f>
        <v>Tanques</v>
      </c>
      <c r="C14" s="49"/>
      <c r="D14" s="49"/>
      <c r="E14" s="49"/>
      <c r="F14" s="49"/>
      <c r="G14" s="34" t="s">
        <v>28</v>
      </c>
      <c r="H14" s="35"/>
      <c r="I14" s="2"/>
      <c r="J14" s="2"/>
      <c r="K14" s="1"/>
    </row>
    <row r="15" spans="1:11" x14ac:dyDescent="0.3">
      <c r="A15" s="49"/>
      <c r="B15" s="49"/>
      <c r="C15" s="49"/>
      <c r="D15" s="49"/>
      <c r="E15" s="49"/>
      <c r="F15" s="49"/>
      <c r="G15" s="18" t="s">
        <v>29</v>
      </c>
      <c r="H15" s="15"/>
      <c r="I15" s="2"/>
      <c r="J15" s="2"/>
      <c r="K15" s="1"/>
    </row>
    <row r="16" spans="1:11" ht="12" customHeight="1" x14ac:dyDescent="0.3">
      <c r="A16" s="49"/>
      <c r="B16" s="49"/>
      <c r="C16" s="49"/>
      <c r="D16" s="49"/>
      <c r="E16" s="49"/>
      <c r="F16" s="49"/>
      <c r="G16" s="18" t="s">
        <v>30</v>
      </c>
      <c r="H16" s="15"/>
      <c r="I16" s="2"/>
      <c r="J16" s="2"/>
      <c r="K16" s="1"/>
    </row>
    <row r="17" spans="1:8" ht="15" thickBot="1" x14ac:dyDescent="0.35">
      <c r="A17" s="43"/>
      <c r="B17" s="43"/>
      <c r="C17" s="43"/>
      <c r="D17" s="43"/>
      <c r="E17" s="43"/>
      <c r="F17" s="43"/>
      <c r="G17" s="19" t="s">
        <v>31</v>
      </c>
      <c r="H17" s="20"/>
    </row>
    <row r="18" spans="1:8" x14ac:dyDescent="0.3">
      <c r="G18" s="37"/>
      <c r="H18" s="37"/>
    </row>
    <row r="33" spans="1:9" x14ac:dyDescent="0.3">
      <c r="A33" s="2"/>
      <c r="B33" s="3"/>
      <c r="C33" s="2"/>
      <c r="D33" s="2"/>
      <c r="E33" s="2"/>
      <c r="F33" s="2"/>
    </row>
    <row r="34" spans="1:9" x14ac:dyDescent="0.3">
      <c r="A34" s="2"/>
      <c r="B34" s="2"/>
      <c r="C34" s="2"/>
      <c r="D34" s="2"/>
      <c r="E34" s="2"/>
      <c r="F34" s="2"/>
      <c r="G34" s="2"/>
    </row>
    <row r="35" spans="1:9" x14ac:dyDescent="0.3">
      <c r="A35" s="2"/>
      <c r="B35" s="2"/>
      <c r="C35" s="2"/>
      <c r="D35" s="2"/>
      <c r="E35" s="2"/>
      <c r="F35" s="2"/>
      <c r="G35" s="2"/>
    </row>
    <row r="36" spans="1:9" x14ac:dyDescent="0.3">
      <c r="A36" s="2"/>
      <c r="B36" s="2"/>
      <c r="C36" s="2"/>
      <c r="D36" s="2"/>
      <c r="E36" s="2"/>
      <c r="F36" s="2"/>
      <c r="G36" s="2"/>
    </row>
    <row r="37" spans="1:9" x14ac:dyDescent="0.3">
      <c r="A37" s="2"/>
      <c r="B37" s="2"/>
      <c r="C37" s="2"/>
      <c r="D37" s="2"/>
      <c r="E37" s="2"/>
      <c r="F37" s="2"/>
      <c r="G37" s="2"/>
    </row>
    <row r="38" spans="1:9" x14ac:dyDescent="0.3">
      <c r="A38" s="2"/>
      <c r="B38" s="2"/>
      <c r="C38" s="2"/>
      <c r="D38" s="2"/>
      <c r="E38" s="2"/>
      <c r="F38" s="2"/>
      <c r="G38" s="2"/>
    </row>
    <row r="39" spans="1:9" x14ac:dyDescent="0.3">
      <c r="A39" s="32"/>
      <c r="B39" s="36"/>
      <c r="C39" s="2"/>
      <c r="D39" s="2"/>
      <c r="E39" s="2"/>
      <c r="F39" s="2"/>
      <c r="G39" s="2"/>
    </row>
    <row r="40" spans="1:9" x14ac:dyDescent="0.3">
      <c r="A40" s="2"/>
      <c r="B40" s="36"/>
      <c r="C40" s="2"/>
      <c r="D40" s="2"/>
      <c r="E40" s="2"/>
      <c r="F40" s="2"/>
      <c r="G40" s="2"/>
    </row>
    <row r="41" spans="1:9" x14ac:dyDescent="0.3">
      <c r="A41" s="2"/>
      <c r="B41" s="36"/>
      <c r="C41" s="2"/>
      <c r="D41" s="2"/>
      <c r="E41" s="2"/>
      <c r="F41" s="2"/>
      <c r="G41" s="2"/>
    </row>
    <row r="42" spans="1:9" x14ac:dyDescent="0.3">
      <c r="A42" s="2"/>
      <c r="B42" s="2"/>
      <c r="C42" s="2"/>
      <c r="D42" s="2"/>
      <c r="E42" s="2"/>
      <c r="F42" s="2"/>
      <c r="G42" s="2"/>
    </row>
    <row r="43" spans="1:9" x14ac:dyDescent="0.3">
      <c r="A43" s="2"/>
      <c r="B43" s="2"/>
      <c r="C43" s="2"/>
      <c r="D43" s="2"/>
      <c r="E43" s="2"/>
      <c r="F43" s="2"/>
      <c r="G43" s="2"/>
    </row>
    <row r="44" spans="1:9" x14ac:dyDescent="0.3">
      <c r="A44" s="2"/>
      <c r="F44" s="12"/>
      <c r="G44" s="2"/>
    </row>
    <row r="45" spans="1:9" x14ac:dyDescent="0.3">
      <c r="A45" s="2"/>
      <c r="C45" s="31"/>
      <c r="D45" s="31"/>
      <c r="E45" s="31"/>
      <c r="F45" s="4"/>
      <c r="G45" s="12"/>
    </row>
    <row r="46" spans="1:9" x14ac:dyDescent="0.3">
      <c r="A46" s="2"/>
      <c r="C46" s="38"/>
      <c r="D46" s="38"/>
      <c r="E46" s="38"/>
      <c r="F46" s="38"/>
      <c r="G46" s="4"/>
      <c r="H46" s="31"/>
      <c r="I46" s="31"/>
    </row>
    <row r="47" spans="1:9" x14ac:dyDescent="0.3">
      <c r="G47" s="2"/>
    </row>
  </sheetData>
  <mergeCells count="4">
    <mergeCell ref="G13:H13"/>
    <mergeCell ref="A8:B8"/>
    <mergeCell ref="A2:B2"/>
    <mergeCell ref="G2:H2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82BE8-7D09-4496-B6F8-8AA70CBABC69}">
  <sheetPr codeName="Sheet3"/>
  <dimension ref="A1:K13"/>
  <sheetViews>
    <sheetView zoomScale="104" zoomScaleNormal="115" workbookViewId="0">
      <selection activeCell="I14" sqref="I14"/>
    </sheetView>
  </sheetViews>
  <sheetFormatPr defaultRowHeight="14.4" x14ac:dyDescent="0.3"/>
  <cols>
    <col min="1" max="6" width="16.33203125" customWidth="1"/>
    <col min="7" max="9" width="14.5546875" customWidth="1"/>
    <col min="11" max="11" width="12.5546875" customWidth="1"/>
  </cols>
  <sheetData>
    <row r="1" spans="1:11" ht="43.2" x14ac:dyDescent="0.3">
      <c r="A1" s="53" t="s">
        <v>4</v>
      </c>
      <c r="B1" s="54" t="s">
        <v>5</v>
      </c>
      <c r="C1" s="53" t="s">
        <v>6</v>
      </c>
      <c r="D1" s="53" t="s">
        <v>33</v>
      </c>
      <c r="E1" s="53" t="s">
        <v>7</v>
      </c>
      <c r="F1" s="53" t="s">
        <v>8</v>
      </c>
      <c r="H1" s="55"/>
    </row>
    <row r="2" spans="1:11" x14ac:dyDescent="0.3">
      <c r="A2" s="66" t="s">
        <v>9</v>
      </c>
      <c r="B2" s="66"/>
      <c r="C2" s="66"/>
      <c r="D2" s="66"/>
      <c r="E2" s="66"/>
      <c r="F2" s="66"/>
    </row>
    <row r="3" spans="1:11" x14ac:dyDescent="0.3">
      <c r="A3" s="11" t="s">
        <v>10</v>
      </c>
      <c r="B3" s="11" t="s">
        <v>11</v>
      </c>
      <c r="C3" s="11" t="s">
        <v>12</v>
      </c>
      <c r="D3" s="11" t="s">
        <v>13</v>
      </c>
      <c r="E3" s="11" t="s">
        <v>14</v>
      </c>
      <c r="F3" s="11" t="s">
        <v>15</v>
      </c>
      <c r="G3" s="56" t="s">
        <v>34</v>
      </c>
      <c r="H3" s="56" t="s">
        <v>35</v>
      </c>
      <c r="J3" s="11" t="s">
        <v>36</v>
      </c>
      <c r="K3" s="11" t="s">
        <v>37</v>
      </c>
    </row>
    <row r="4" spans="1:11" x14ac:dyDescent="0.3">
      <c r="A4" s="11">
        <v>5000</v>
      </c>
      <c r="B4" s="11">
        <v>2100</v>
      </c>
      <c r="C4" s="11">
        <v>5490</v>
      </c>
      <c r="D4" s="11">
        <v>6147</v>
      </c>
      <c r="E4" s="11">
        <v>2600</v>
      </c>
      <c r="F4" s="11">
        <v>700</v>
      </c>
      <c r="G4">
        <f>((PI()/4)*B4^2*C4)/3785000</f>
        <v>5023.8299588373266</v>
      </c>
      <c r="H4">
        <f>A4*1.13</f>
        <v>5649.9999999999991</v>
      </c>
      <c r="J4" s="11">
        <v>1</v>
      </c>
      <c r="K4" s="11">
        <f>C4/2</f>
        <v>2745</v>
      </c>
    </row>
    <row r="5" spans="1:11" x14ac:dyDescent="0.3">
      <c r="A5" s="11">
        <v>10000</v>
      </c>
      <c r="B5" s="11">
        <v>2430</v>
      </c>
      <c r="C5" s="11">
        <v>8235</v>
      </c>
      <c r="D5" s="11">
        <v>8902</v>
      </c>
      <c r="E5" s="11">
        <v>3000</v>
      </c>
      <c r="F5" s="11">
        <v>1000</v>
      </c>
      <c r="G5">
        <f t="shared" ref="G5:G6" si="0">((PI()/4)*B5^2*C5)/3785000</f>
        <v>10090.208681611744</v>
      </c>
      <c r="H5">
        <f>A5*1.09</f>
        <v>10900</v>
      </c>
      <c r="J5" s="11">
        <v>2</v>
      </c>
      <c r="K5" s="11">
        <f>K4*J5</f>
        <v>5490</v>
      </c>
    </row>
    <row r="6" spans="1:11" x14ac:dyDescent="0.3">
      <c r="A6" s="11">
        <v>12000</v>
      </c>
      <c r="B6" s="11">
        <v>2650</v>
      </c>
      <c r="C6" s="11">
        <v>8235</v>
      </c>
      <c r="D6" s="11">
        <v>8905</v>
      </c>
      <c r="E6" s="11">
        <v>3000</v>
      </c>
      <c r="F6" s="11">
        <v>1000</v>
      </c>
      <c r="G6">
        <f t="shared" si="0"/>
        <v>11999.947580250042</v>
      </c>
      <c r="H6">
        <f>A6*1.08</f>
        <v>12960</v>
      </c>
      <c r="J6" s="11">
        <v>3</v>
      </c>
      <c r="K6" s="11">
        <f>K4*J6</f>
        <v>8235</v>
      </c>
    </row>
    <row r="7" spans="1:11" x14ac:dyDescent="0.3">
      <c r="J7" s="11">
        <v>4</v>
      </c>
      <c r="K7" s="11">
        <f>K4*J7</f>
        <v>10980</v>
      </c>
    </row>
    <row r="12" spans="1:11" x14ac:dyDescent="0.3">
      <c r="A12" s="11" t="s">
        <v>38</v>
      </c>
      <c r="B12" s="11" t="s">
        <v>39</v>
      </c>
      <c r="C12" s="11" t="s">
        <v>40</v>
      </c>
      <c r="D12" s="11" t="s">
        <v>41</v>
      </c>
      <c r="E12" s="11" t="s">
        <v>42</v>
      </c>
      <c r="F12" s="11" t="s">
        <v>43</v>
      </c>
      <c r="G12" s="11" t="s">
        <v>44</v>
      </c>
    </row>
    <row r="13" spans="1:11" x14ac:dyDescent="0.3">
      <c r="A13" s="11">
        <f>DAQ!H3</f>
        <v>5000</v>
      </c>
      <c r="B13" s="11">
        <f>A13*3785000</f>
        <v>18925000000</v>
      </c>
      <c r="C13" s="11" cm="1">
        <f t="array" ref="C13">_xlfn.IFS(A13&lt;=8000,K5,A13&lt;=12000,K6,A13&gt;12000,K7)</f>
        <v>5490</v>
      </c>
      <c r="D13" s="11">
        <f>ROUNDUP(SQRT(4*B13/(C13*PI())),0)</f>
        <v>2096</v>
      </c>
      <c r="E13" s="11" cm="1">
        <f t="array" ref="E13">_xlfn.IFS(A13&lt;=8000,2600,A13&lt;=12000,3000,A13&gt;12000,3400)</f>
        <v>2600</v>
      </c>
      <c r="F13" s="11" cm="1">
        <f t="array" ref="F13">_xlfn.IFS(A13&lt;=8000,700,A13&lt;=12000,1000,A13&gt;12000,1300)</f>
        <v>700</v>
      </c>
      <c r="G13" s="11" t="s">
        <v>45</v>
      </c>
    </row>
  </sheetData>
  <mergeCells count="1">
    <mergeCell ref="A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DB4A-D349-4C8A-B06C-0C618DBD45C0}">
  <sheetPr codeName="Sheet2"/>
  <dimension ref="A1"/>
  <sheetViews>
    <sheetView workbookViewId="0">
      <selection activeCell="G10" sqref="G10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AAF18A-9567-4ED7-9829-A1203F838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DAQ</vt:lpstr>
      <vt:lpstr>TANQUES</vt:lpstr>
      <vt:lpstr>TABLEROS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Holguin Restrepo</dc:creator>
  <cp:lastModifiedBy>Andres Holguin Restrepo</cp:lastModifiedBy>
  <dcterms:created xsi:type="dcterms:W3CDTF">2022-10-31T17:23:11Z</dcterms:created>
  <dcterms:modified xsi:type="dcterms:W3CDTF">2022-11-28T03:06:49Z</dcterms:modified>
</cp:coreProperties>
</file>